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uidi Liu\Downloads\"/>
    </mc:Choice>
  </mc:AlternateContent>
  <xr:revisionPtr revIDLastSave="0" documentId="13_ncr:1_{ABE8A4E7-AC08-49CA-A6E4-7C95CFBC13CF}" xr6:coauthVersionLast="47" xr6:coauthVersionMax="47" xr10:uidLastSave="{00000000-0000-0000-0000-000000000000}"/>
  <bookViews>
    <workbookView xWindow="-120" yWindow="-120" windowWidth="29040" windowHeight="15720" tabRatio="500" xr2:uid="{00000000-000D-0000-FFFF-FFFF00000000}"/>
  </bookViews>
  <sheets>
    <sheet name="FMEA Template" sheetId="1" r:id="rId1"/>
    <sheet name="Dropdown Keys - Do Not Delete -" sheetId="2" r:id="rId2"/>
    <sheet name="- Disclaimer -" sheetId="3" r:id="rId3"/>
  </sheets>
  <externalReferences>
    <externalReference r:id="rId4"/>
    <externalReference r:id="rId5"/>
    <externalReference r:id="rId6"/>
  </externalReferences>
  <definedNames>
    <definedName name="_xlnm.Print_Area" localSheetId="0">'FMEA Template'!$B$2:$W$25</definedName>
    <definedName name="Priority" localSheetId="2">#REF!</definedName>
    <definedName name="Priority" localSheetId="1">#REF!</definedName>
    <definedName name="Priority">'FMEA Template'!#REF!</definedName>
    <definedName name="Status" localSheetId="2">'[1]FMEA Template'!#REF!</definedName>
    <definedName name="Status" localSheetId="1">'Dropdown Keys - Do Not Delete -'!$D$5:$D$7</definedName>
    <definedName name="Status">'FMEA Template'!#REF!</definedName>
    <definedName name="Type" localSheetId="1">'[2]Risk Assessment &amp; Control'!#REF!</definedName>
    <definedName name="Type">'[3]Maintenance Work Order'!#REF!</definedName>
    <definedName name="YesNo">'Dropdown Keys - Do Not Delete -'!$B$5:$B$6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5" i="1" l="1"/>
  <c r="N25" i="1"/>
  <c r="W24" i="1"/>
  <c r="N24" i="1"/>
  <c r="W23" i="1"/>
  <c r="N23" i="1"/>
  <c r="W22" i="1"/>
  <c r="N22" i="1"/>
  <c r="W21" i="1"/>
  <c r="N21" i="1"/>
  <c r="W20" i="1"/>
  <c r="N20" i="1"/>
  <c r="W19" i="1"/>
  <c r="N19" i="1"/>
  <c r="W18" i="1"/>
  <c r="N18" i="1"/>
  <c r="W17" i="1"/>
  <c r="N17" i="1"/>
  <c r="W16" i="1"/>
  <c r="N16" i="1"/>
  <c r="W15" i="1"/>
  <c r="N15" i="1"/>
  <c r="W14" i="1"/>
  <c r="N14" i="1"/>
  <c r="W13" i="1"/>
  <c r="N13" i="1"/>
</calcChain>
</file>

<file path=xl/sharedStrings.xml><?xml version="1.0" encoding="utf-8"?>
<sst xmlns="http://schemas.openxmlformats.org/spreadsheetml/2006/main" count="194" uniqueCount="175">
  <si>
    <t xml:space="preserve">FMEA Spreadsheet Template </t>
  </si>
  <si>
    <t>System / Product / Process</t>
  </si>
  <si>
    <t>FMEA ID</t>
  </si>
  <si>
    <t>Revision</t>
  </si>
  <si>
    <t>Date</t>
  </si>
  <si>
    <t>Subsystem / Product / Process (if applicable)</t>
  </si>
  <si>
    <t>Party Responsible</t>
  </si>
  <si>
    <t>Approved By</t>
  </si>
  <si>
    <t>Date Completed</t>
  </si>
  <si>
    <t>Team</t>
  </si>
  <si>
    <t>Failure Mode and Effects Analysis (FMEA)</t>
  </si>
  <si>
    <t xml:space="preserve">RPN Columns contain a formula to auto-calculate; 
do not alter or delete. </t>
  </si>
  <si>
    <t>FMEA Results</t>
  </si>
  <si>
    <t>ID</t>
  </si>
  <si>
    <t>System / Item / Process Step</t>
  </si>
  <si>
    <t>Function</t>
  </si>
  <si>
    <t>Potential Failure Mode</t>
  </si>
  <si>
    <t>Effects of Failure</t>
  </si>
  <si>
    <t>Severity</t>
  </si>
  <si>
    <t>Causes</t>
  </si>
  <si>
    <t>Occurrence</t>
  </si>
  <si>
    <t>Current Controls</t>
  </si>
  <si>
    <t>Detection</t>
  </si>
  <si>
    <t>RPN</t>
  </si>
  <si>
    <t>Recommended Actions</t>
  </si>
  <si>
    <t>Owner</t>
  </si>
  <si>
    <t>Date
Due</t>
  </si>
  <si>
    <t>Action Results</t>
  </si>
  <si>
    <t>#</t>
  </si>
  <si>
    <t>Name, ID number, etc.</t>
  </si>
  <si>
    <t>Primary function</t>
  </si>
  <si>
    <t>How could the system / item / process potentially fail?</t>
  </si>
  <si>
    <t>Consequential impact on other systems, departments, etc.</t>
  </si>
  <si>
    <t>All contributing factors</t>
  </si>
  <si>
    <t>Prevention</t>
  </si>
  <si>
    <t>Risk Priority Number</t>
  </si>
  <si>
    <t>Steps required to reduce severity, occurrence, and detection</t>
  </si>
  <si>
    <t>Organization, team, 
or individual responsible</t>
  </si>
  <si>
    <t>Target 
date of completion</t>
  </si>
  <si>
    <t>Actions taken</t>
  </si>
  <si>
    <t>actual 
date of completion</t>
  </si>
  <si>
    <t>Benign findings classified as high risk / urgent</t>
  </si>
  <si>
    <t>Unnecessary anxiety and appointments; increased system burden</t>
  </si>
  <si>
    <t>Lighting artefacts; reflective surfaces; overly conservative thresholds</t>
  </si>
  <si>
    <t>Pre-processing (blur/exposure/normalisation); conservative wording of results; non-emergency framing</t>
  </si>
  <si>
    <t>User takes poor-quality or incorrect images</t>
  </si>
  <si>
    <t>Inaccurate ML features; potential false reassurance or false alarm</t>
  </si>
  <si>
    <t>App-level quality scores; analytics on failed image uploads or repeated retakes</t>
  </si>
  <si>
    <t>Missing or contradictory symptom data used for risk scoring</t>
  </si>
  <si>
    <t>Inaccurate risk assessment; potential under- or over-triage</t>
  </si>
  <si>
    <t>Users rush; misunderstand questions; accidental taps; no logical checks</t>
  </si>
  <si>
    <t>Mandatory responses for high-impact items; confirmation for extreme values; simple consistency checks</t>
  </si>
  <si>
    <t>Backend analytics on missing/changed responses; flags when internal checks trigger</t>
  </si>
  <si>
    <t>App stops responding during assessment</t>
  </si>
  <si>
    <t>Interrupted assessment; user frustration; possible abandonment and delayed care</t>
  </si>
  <si>
    <t>OS/SDK incompatibility; memory limits; unhandled exceptions; heavy model on low-end device</t>
  </si>
  <si>
    <t>Crash analytics and logs from pilot; user feedback reports</t>
  </si>
  <si>
    <t>Backend unavailable or very slow</t>
  </si>
  <si>
    <t>Images not uploaded; results delayed or absent; incomplete assessments</t>
  </si>
  <si>
    <t>Network outages; server misconfiguration; overload; expired certificates</t>
  </si>
  <si>
    <t>Graceful error messages; retry with backoff; symptom-only on-device fallback</t>
  </si>
  <si>
    <t>Server uptime monitoring; API latency dashboards</t>
  </si>
  <si>
    <t>Systematically worse performance for some demographic or device groups</t>
  </si>
  <si>
    <t>Inequitable care; higher false negatives or positives for certain users</t>
  </si>
  <si>
    <t>Non-representative training data; biased labels; untested subgroup performance</t>
  </si>
  <si>
    <t>Diverse training data; track metrics by subgroup; clinician oversight on high-risk cases</t>
  </si>
  <si>
    <t>Periodic bias audits on validation and pilot data; monitoring of subgroup confusion matrices</t>
  </si>
  <si>
    <t>Data Layer (Local) + Cloud / Server Layer</t>
  </si>
  <si>
    <t>PHI or images accessed by unauthorized party</t>
  </si>
  <si>
    <t>Privacy violations; possible identity risk; regulatory penalties; loss of trust</t>
  </si>
  <si>
    <t>Weak encryption; insecure storage; misconfigured cloud; inadequate access control</t>
  </si>
  <si>
    <t>Encryption at rest and in transit; least-privilege access; secure OS storage; audits/logging; data minimisation</t>
  </si>
  <si>
    <t>Security monitoring; log review; intrusion/breach detection alerts</t>
  </si>
  <si>
    <t>Data used for ML or shared without meaningful consent</t>
  </si>
  <si>
    <t>Ethical violations; user distrust; legal / regulatory risk</t>
  </si>
  <si>
    <t>Ambiguous consent text; broad default permissions; long retention</t>
  </si>
  <si>
    <t>Explicit consent flows; separate opt-in for research/training; documented retention limits; transparent policy</t>
  </si>
  <si>
    <t>Regular policy reviews; internal audits of data use vs consent records</t>
  </si>
  <si>
    <t>Misalignment with CDA/CDHA, SaMD, privacy, CASL, or cybersecurity guidance</t>
  </si>
  <si>
    <t>Legal penalties; forced product withdrawal; reputational damage</t>
  </si>
  <si>
    <t>Incomplete regulatory analysis; missing documentation; ad-hoc updates</t>
  </si>
  <si>
    <t>Map requirements into design inputs; maintain risk management file; follow secure development guidance</t>
  </si>
  <si>
    <t>Internal compliance review; external consultation if needed</t>
  </si>
  <si>
    <t>Presentation Layer (results &amp; education pages)</t>
  </si>
  <si>
    <t>User treats app result as definitive diagnosis and delays seeing dentist</t>
  </si>
  <si>
    <t>Delay in needed care; worsening of conditions</t>
  </si>
  <si>
    <t>Weak or hidden disclaimers; users over-trust AI; limited health literacy</t>
  </si>
  <si>
    <t>Prominent 'not a diagnosis' messaging; routine check-up recommendation even for low risk; clear escalation advice</t>
  </si>
  <si>
    <t>User feedback; qualitative interviews in pilot; tracking recurrent high-risk follow-ups</t>
  </si>
  <si>
    <t>DROPDOWN KEYS</t>
  </si>
  <si>
    <t>YES / NO</t>
  </si>
  <si>
    <t>PRIORITY</t>
  </si>
  <si>
    <t>STATUS</t>
  </si>
  <si>
    <t>RATING</t>
  </si>
  <si>
    <t>Yes</t>
  </si>
  <si>
    <t>Low</t>
  </si>
  <si>
    <t>Not Started</t>
  </si>
  <si>
    <t>No</t>
  </si>
  <si>
    <t>Medium</t>
  </si>
  <si>
    <t>In Progress</t>
  </si>
  <si>
    <t>High</t>
  </si>
  <si>
    <t>Complete</t>
  </si>
  <si>
    <t>Needs Review</t>
  </si>
  <si>
    <t>Approved</t>
  </si>
  <si>
    <t>Overdue</t>
  </si>
  <si>
    <t>On Hold</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</si>
  <si>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</si>
  <si>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Team 9</t>
  </si>
  <si>
    <t>Dec.1st 2025</t>
  </si>
  <si>
    <t>Team 9 Ruidi Liu &amp; Jasmine Wang - Current Version 1.0</t>
  </si>
  <si>
    <r>
      <rPr>
        <b/>
        <sz val="10"/>
        <color theme="1"/>
        <rFont val="Century Gothic"/>
        <family val="2"/>
      </rPr>
      <t>FM1</t>
    </r>
    <r>
      <rPr>
        <sz val="10"/>
        <color theme="1"/>
        <rFont val="Century Gothic"/>
        <family val="2"/>
      </rPr>
      <t>: False reassurance / false negative triage</t>
    </r>
  </si>
  <si>
    <r>
      <rPr>
        <b/>
        <sz val="10"/>
        <color theme="1"/>
        <rFont val="Century Gothic"/>
        <family val="2"/>
      </rPr>
      <t>FM2</t>
    </r>
    <r>
      <rPr>
        <sz val="10"/>
        <color theme="1"/>
        <rFont val="Century Gothic"/>
        <family val="2"/>
      </rPr>
      <t>: Over-triage / false positive triage</t>
    </r>
  </si>
  <si>
    <t xml:space="preserve">Business Logic / Domain Layer </t>
  </si>
  <si>
    <t xml:space="preserve">ML &amp; Image Services Layer </t>
  </si>
  <si>
    <t xml:space="preserve">Presentation Layer </t>
  </si>
  <si>
    <t xml:space="preserve">Presentation Business Logic Layers </t>
  </si>
  <si>
    <t xml:space="preserve">Infrastructure Layer </t>
  </si>
  <si>
    <t xml:space="preserve">Cloud / Server Layer </t>
  </si>
  <si>
    <t xml:space="preserve">ML &amp; Image Services Layer + Cloud </t>
  </si>
  <si>
    <t>Data Layer + Regulatory &amp; Compliance Process</t>
  </si>
  <si>
    <t>System-wide / Regulatory &amp; Compliance Process</t>
  </si>
  <si>
    <t>**Regulatory &amp; Compliance Process means it is outside of the software modules, they are organizational responsibilities</t>
  </si>
  <si>
    <t>Subsystems</t>
  </si>
  <si>
    <t>What subsystem does this Failure Mode belong to?</t>
  </si>
  <si>
    <t>Perform accurate risk scoring and triage decision-making by combining questionnaire responses, image-analysis model, and 'red-flag' rules.</t>
  </si>
  <si>
    <t>Serious condition classified as low risk or told user to monitor at home</t>
  </si>
  <si>
    <t>Delayed care; progression of disease; increased pain; potential rise of infection and/or complications</t>
  </si>
  <si>
    <t>Incomplete or inaccurate symptoms; poor fusion of questionnaire+image; miscalibrated thresholds; triage logic bug; skipping questionaire</t>
  </si>
  <si>
    <t xml:space="preserve">Clinical validation against labelled cases; monitoring of triage distributions after updates; </t>
  </si>
  <si>
    <t xml:space="preserve">March </t>
  </si>
  <si>
    <t>Jasmine</t>
  </si>
  <si>
    <r>
      <rPr>
        <b/>
        <sz val="10"/>
        <color theme="1"/>
        <rFont val="Century Gothic"/>
        <family val="2"/>
      </rPr>
      <t>FM3</t>
    </r>
    <r>
      <rPr>
        <sz val="10"/>
        <color theme="1"/>
        <rFont val="Century Gothic"/>
        <family val="2"/>
      </rPr>
      <t>: Improper use / incorrect image capture</t>
    </r>
  </si>
  <si>
    <t>Process user images through the image pipeline (blur check → exposure check → crop/resize/normalize) and perform ML inference using MobileNet/EfficientNet-lite to identify potential dental issues.</t>
  </si>
  <si>
    <t>Review of confusion matrix in validation and pilot; monitor high-risk rate vs expectations;</t>
  </si>
  <si>
    <t>Iterative testing &amp; adjust treshold if needed; Expand data set</t>
  </si>
  <si>
    <t xml:space="preserve">Mid-Feburaray to March </t>
  </si>
  <si>
    <t>Support users in capturing high-quality intraoral photographs using guided overlays, instructions, and UI prompts that enforce correct image framing.</t>
  </si>
  <si>
    <t>User confusion; low health literacy; ignoring overlay guides; rushing; Camera broken or has flaws</t>
  </si>
  <si>
    <t>Step-by-step camera instructions; overlay guidelines; enforced blur/exposure checks; plain-language prompts</t>
  </si>
  <si>
    <t>Perform Stakeholder Interview; Gather client feedback and update overall guidelines; Filter and check images before passing to model</t>
  </si>
  <si>
    <t>Ruidi</t>
  </si>
  <si>
    <t>Mid-Feburaray</t>
  </si>
  <si>
    <r>
      <rPr>
        <b/>
        <sz val="10"/>
        <color theme="1"/>
        <rFont val="Century Gothic"/>
        <family val="2"/>
      </rPr>
      <t>FM4</t>
    </r>
    <r>
      <rPr>
        <sz val="10"/>
        <color theme="1"/>
        <rFont val="Century Gothic"/>
        <family val="2"/>
      </rPr>
      <t>: Skipped or inconsistent questionnaire responses</t>
    </r>
  </si>
  <si>
    <t>Collect accurate and complete symptom and history data from the user and pass the structured responses to the risk-scoring engine.</t>
  </si>
  <si>
    <t>Allow user to read through responses and confirm their answers; allow users to have a method to re-answer questions; Set all questions as mandatory;</t>
  </si>
  <si>
    <t>Mid-Feubrary to March</t>
  </si>
  <si>
    <r>
      <rPr>
        <b/>
        <sz val="10"/>
        <color theme="1"/>
        <rFont val="Century Gothic"/>
        <family val="2"/>
      </rPr>
      <t>FM5</t>
    </r>
    <r>
      <rPr>
        <sz val="10"/>
        <color theme="1"/>
        <rFont val="Century Gothic"/>
        <family val="2"/>
      </rPr>
      <t>: App crash / freeze / unresponsive behaviour</t>
    </r>
  </si>
  <si>
    <t>Provide a stable, responsive runtime environment for the mobile app, including UI rendering, ML model loading, memory management, and background processes.</t>
  </si>
  <si>
    <t>Autosave; guarded model loading; try/except error handling; device/OS support matrix;data sync enable</t>
  </si>
  <si>
    <t>Both members</t>
  </si>
  <si>
    <t>April</t>
  </si>
  <si>
    <r>
      <rPr>
        <b/>
        <sz val="10"/>
        <color theme="1"/>
        <rFont val="Century Gothic"/>
        <family val="2"/>
      </rPr>
      <t>FM8</t>
    </r>
    <r>
      <rPr>
        <sz val="10"/>
        <color theme="1"/>
        <rFont val="Century Gothic"/>
        <family val="2"/>
      </rPr>
      <t>: Data breach / unauthorized access to health data</t>
    </r>
  </si>
  <si>
    <r>
      <rPr>
        <b/>
        <sz val="10"/>
        <color theme="1"/>
        <rFont val="Century Gothic"/>
        <family val="2"/>
      </rPr>
      <t>FM9</t>
    </r>
    <r>
      <rPr>
        <sz val="10"/>
        <color theme="1"/>
        <rFont val="Century Gothic"/>
        <family val="2"/>
      </rPr>
      <t>: Misuse or unclear ownership of personal data</t>
    </r>
  </si>
  <si>
    <r>
      <rPr>
        <b/>
        <sz val="10"/>
        <color theme="1"/>
        <rFont val="Century Gothic"/>
        <family val="2"/>
      </rPr>
      <t>FM10</t>
    </r>
    <r>
      <rPr>
        <sz val="10"/>
        <color theme="1"/>
        <rFont val="Century Gothic"/>
        <family val="2"/>
      </rPr>
      <t>: Regulatory non-compliance</t>
    </r>
  </si>
  <si>
    <r>
      <rPr>
        <b/>
        <sz val="10"/>
        <color theme="1"/>
        <rFont val="Century Gothic"/>
        <family val="2"/>
      </rPr>
      <t>FM11</t>
    </r>
    <r>
      <rPr>
        <sz val="10"/>
        <color theme="1"/>
        <rFont val="Century Gothic"/>
        <family val="2"/>
      </rPr>
      <t>: Over-reliance on app / misunderstanding scope</t>
    </r>
  </si>
  <si>
    <r>
      <rPr>
        <b/>
        <sz val="10"/>
        <color theme="1"/>
        <rFont val="Century Gothic"/>
        <family val="2"/>
      </rPr>
      <t>FM6</t>
    </r>
    <r>
      <rPr>
        <sz val="10"/>
        <color theme="1"/>
        <rFont val="Century Gothic"/>
        <family val="2"/>
      </rPr>
      <t>: Server downtime / slow backend response</t>
    </r>
  </si>
  <si>
    <r>
      <rPr>
        <b/>
        <sz val="10"/>
        <color theme="1"/>
        <rFont val="Century Gothic"/>
        <family val="2"/>
      </rPr>
      <t>FM7</t>
    </r>
    <r>
      <rPr>
        <sz val="10"/>
        <color theme="1"/>
        <rFont val="Century Gothic"/>
        <family val="2"/>
      </rPr>
      <t>: Algorithmic bias / unequal performance across subgroups</t>
    </r>
  </si>
  <si>
    <t>Selfie Dental Assistant Appication</t>
  </si>
  <si>
    <t xml:space="preserve">Red-flag override rules; mandatory key questions that doesn't allow for skipping; conservative high-sensitivity thresholds; unit tests on triage logic; 'Disease' has higher weight than healthy; Provide suggestion to see a doctor no matter what the results are </t>
  </si>
  <si>
    <t>Develop and implement a 'drift' and model detection; Evaluate triage output trends; Flags when accuracy drops; Expand data set</t>
  </si>
  <si>
    <t>Enable secure data synchronization, storage, model updates, and user account services through a reliable backend accessible via encrypted APIs.</t>
  </si>
  <si>
    <t>Provide fully-offline questionair-based fallback if server is unavailable; Perforam load testing to identify bottle necks; Stagger model updates</t>
  </si>
  <si>
    <t>Perform periodic bias audits;
Expand dataset with intentionally diverse images (skin tone, age, camera types); Add fairness evaluation metrics to acceptance criteria before model release; Tune thresholds separately for groups if systematic patterns appear;Include clinician during pilot phase.</t>
  </si>
  <si>
    <t>Optimize ML model using quantization and model-size reduction; expand device compatibility testing;badd automated crash reporting and analytics; ensure questionnaires auto-save every step</t>
  </si>
  <si>
    <t>Maintain and update the machine-learning models, ensuring that inference pipelines remain accurate, fair, and up-to-date across user populations and devices.</t>
  </si>
  <si>
    <t>Store and protect personal health information (PHI) — including images, questionnaire responses, and consent settings — using encryption, access controls, and secure storage mechanisms.</t>
  </si>
  <si>
    <t>Ensure proper collection, use, retention, and ownership of user data, including maintaining consent records and applying purpose-based data governance rules.</t>
  </si>
  <si>
    <t>Maintain compliance with regulatory standards and codes (CDA/CDHA, PIPEDA, PHIPA, CASL, SaMD, cybersecurity guidelines) through documentation, quality management, and controlled updates.</t>
  </si>
  <si>
    <t>Communicate risk results, explanations, and educational guidance in clear, non-diagnostic language to support user understanding and promote appropriate follow-up care.</t>
  </si>
  <si>
    <t>Feburary</t>
  </si>
  <si>
    <t>Late March</t>
  </si>
  <si>
    <t>Present “This is not a diagnosis” clearly and repeatedly in onboarding and results screen;add automatic follow-up &gt;48 hours;include educational messages promoting regular dental exams even for “low risk." ; Provide clear instructions for when to seek urgent dental care.</t>
  </si>
  <si>
    <t>Prepare SaMD-aligned risk management file (ISO 14971 template); Maintain design history and software lifecycle documentation);Review data-flows to maintain compliance with PIPEDA/PHIPA.</t>
  </si>
  <si>
    <t>Rewrite consent screen in plain language with explicit opt-in for data use in ML;add an in-app privacy dashboard or note showing what data is stored and why;implement data deletion on user request.</t>
  </si>
  <si>
    <t>Strengthen encryption (AES-256 for local storage; enforced TLS 1.2+); Introduce audit logs reviewing all access to PHI.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</si>
</sst>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mm/dd/yyyy"/>
  </numFmts>
  <fonts count="24" x14ac:knownFonts="1">
    <font>
      <sz val="12"/>
      <color theme="1"/>
      <name val="Century Gothic"/>
      <family val="2"/>
      <scheme val="minor"/>
    </font>
    <font>
      <u/>
      <sz val="12"/>
      <color theme="10"/>
      <name val="Century Gothic"/>
      <family val="2"/>
      <scheme val="minor"/>
    </font>
    <font>
      <u/>
      <sz val="12"/>
      <color theme="11"/>
      <name val="Century Gothic"/>
      <family val="2"/>
      <scheme val="minor"/>
    </font>
    <font>
      <b/>
      <sz val="20"/>
      <color theme="0" tint="-0.499984740745262"/>
      <name val="Century Gothic"/>
      <family val="1"/>
    </font>
    <font>
      <sz val="10"/>
      <color theme="1"/>
      <name val="Century Gothic"/>
      <family val="2"/>
    </font>
    <font>
      <sz val="10"/>
      <color theme="1"/>
      <name val="Century Gothic"/>
      <family val="1"/>
    </font>
    <font>
      <b/>
      <sz val="24"/>
      <color rgb="FF001033"/>
      <name val="Century Gothic"/>
      <family val="1"/>
    </font>
    <font>
      <sz val="10"/>
      <color theme="1"/>
      <name val="Century Gothic"/>
      <family val="1"/>
      <scheme val="minor"/>
    </font>
    <font>
      <b/>
      <sz val="10"/>
      <color theme="0" tint="-0.499984740745262"/>
      <name val="Century Gothic"/>
      <family val="1"/>
      <scheme val="minor"/>
    </font>
    <font>
      <sz val="11"/>
      <color theme="1"/>
      <name val="Century Gothic"/>
      <family val="2"/>
      <scheme val="minor"/>
    </font>
    <font>
      <sz val="12"/>
      <color theme="1"/>
      <name val="Arial"/>
      <family val="2"/>
    </font>
    <font>
      <sz val="12"/>
      <color theme="1"/>
      <name val="Century Gothic"/>
      <family val="1"/>
    </font>
    <font>
      <sz val="13"/>
      <color theme="1"/>
      <name val="Century Gothic"/>
      <family val="1"/>
    </font>
    <font>
      <sz val="14"/>
      <color theme="1"/>
      <name val="Century Gothic"/>
      <family val="1"/>
    </font>
    <font>
      <b/>
      <sz val="10"/>
      <color theme="1"/>
      <name val="Century Gothic"/>
      <family val="1"/>
    </font>
    <font>
      <sz val="22"/>
      <color theme="4" tint="0.79998168889431442"/>
      <name val="Century Gothic"/>
      <family val="1"/>
    </font>
    <font>
      <sz val="22"/>
      <color rgb="FF001033"/>
      <name val="Century Gothic"/>
      <family val="1"/>
    </font>
    <font>
      <sz val="13"/>
      <color theme="1"/>
      <name val="Century Gothic"/>
      <family val="2"/>
    </font>
    <font>
      <sz val="12"/>
      <color theme="1" tint="0.34998626667073579"/>
      <name val="Century Gothic"/>
      <family val="1"/>
    </font>
    <font>
      <sz val="11"/>
      <color indexed="8"/>
      <name val="Century Gothic"/>
      <family val="1"/>
    </font>
    <font>
      <sz val="10"/>
      <color rgb="FF000000"/>
      <name val="Century Gothic"/>
      <family val="1"/>
    </font>
    <font>
      <sz val="22"/>
      <color theme="1" tint="0.34998626667073579"/>
      <name val="Century Gothic"/>
      <family val="1"/>
    </font>
    <font>
      <sz val="13"/>
      <color rgb="FF000000"/>
      <name val="Century Gothic"/>
      <family val="1"/>
    </font>
    <font>
      <b/>
      <sz val="10"/>
      <color theme="1"/>
      <name val="Century Gothic"/>
      <family val="2"/>
    </font>
  </fonts>
  <fills count="23">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bgColor indexed="64"/>
      </patternFill>
    </fill>
    <fill>
      <patternFill patternType="solid">
        <fgColor theme="2" tint="-9.9978637043366805E-2"/>
        <bgColor indexed="64"/>
      </patternFill>
    </fill>
    <fill>
      <patternFill patternType="solid">
        <fgColor theme="2"/>
        <bgColor indexed="64"/>
      </patternFill>
    </fill>
    <fill>
      <patternFill patternType="solid">
        <fgColor rgb="FFDEDEDE"/>
        <bgColor indexed="64"/>
      </patternFill>
    </fill>
    <fill>
      <patternFill patternType="solid">
        <fgColor rgb="FFF1F1F1"/>
        <bgColor indexed="64"/>
      </patternFill>
    </fill>
    <fill>
      <patternFill patternType="solid">
        <fgColor rgb="FFC7DDF3"/>
        <bgColor indexed="64"/>
      </patternFill>
    </fill>
    <fill>
      <patternFill patternType="solid">
        <fgColor theme="7" tint="0.39997558519241921"/>
        <bgColor indexed="64"/>
      </patternFill>
    </fill>
    <fill>
      <patternFill patternType="solid">
        <fgColor rgb="FF5EE9E7"/>
        <bgColor indexed="64"/>
      </patternFill>
    </fill>
    <fill>
      <patternFill patternType="solid">
        <fgColor rgb="FFABEFEA"/>
        <bgColor indexed="64"/>
      </patternFill>
    </fill>
    <fill>
      <patternFill patternType="solid">
        <fgColor rgb="FFFF0000"/>
        <bgColor indexed="64"/>
      </patternFill>
    </fill>
    <fill>
      <patternFill patternType="solid">
        <fgColor rgb="FFFFC000"/>
        <bgColor indexed="64"/>
      </patternFill>
    </fill>
    <fill>
      <patternFill patternType="solid">
        <fgColor rgb="FF00EAF0"/>
        <bgColor indexed="64"/>
      </patternFill>
    </fill>
    <fill>
      <patternFill patternType="solid">
        <fgColor rgb="FFB6FBF5"/>
        <bgColor indexed="64"/>
      </patternFill>
    </fill>
    <fill>
      <patternFill patternType="solid">
        <fgColor rgb="FFC0E6F5"/>
        <bgColor indexed="64"/>
      </patternFill>
    </fill>
    <fill>
      <patternFill patternType="solid">
        <fgColor rgb="FFF5FDFF"/>
        <bgColor indexed="64"/>
      </patternFill>
    </fill>
  </fills>
  <borders count="2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double">
        <color theme="0" tint="-0.34998626667073579"/>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ck">
        <color theme="0" tint="-0.34998626667073579"/>
      </left>
      <right/>
      <top/>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thin">
        <color theme="0" tint="-0.34998626667073579"/>
      </left>
      <right style="thin">
        <color theme="0" tint="-0.34998626667073579"/>
      </right>
      <top/>
      <bottom/>
      <diagonal/>
    </border>
    <border>
      <left style="thin">
        <color theme="0" tint="-0.34998626667073579"/>
      </left>
      <right style="double">
        <color theme="0" tint="-0.34998626667073579"/>
      </right>
      <top/>
      <bottom style="thin">
        <color theme="0" tint="-0.34998626667073579"/>
      </bottom>
      <diagonal/>
    </border>
    <border>
      <left/>
      <right/>
      <top/>
      <bottom style="medium">
        <color theme="2" tint="-0.249977111117893"/>
      </bottom>
      <diagonal/>
    </border>
    <border>
      <left/>
      <right/>
      <top style="thick">
        <color theme="4" tint="0.39997558519241921"/>
      </top>
      <bottom style="medium">
        <color theme="2" tint="-0.249977111117893"/>
      </bottom>
      <diagonal/>
    </border>
    <border>
      <left/>
      <right style="thin">
        <color theme="0" tint="-0.34998626667073579"/>
      </right>
      <top style="thick">
        <color theme="4" tint="0.39997558519241921"/>
      </top>
      <bottom style="medium">
        <color theme="2" tint="-0.249977111117893"/>
      </bottom>
      <diagonal/>
    </border>
    <border>
      <left/>
      <right style="double">
        <color theme="0" tint="-0.34998626667073579"/>
      </right>
      <top/>
      <bottom style="medium">
        <color theme="2" tint="-0.249977111117893"/>
      </bottom>
      <diagonal/>
    </border>
    <border>
      <left style="thin">
        <color theme="0" tint="-0.249977111117893"/>
      </left>
      <right style="thin">
        <color theme="0" tint="-0.249977111117893"/>
      </right>
      <top style="thick">
        <color theme="0" tint="-0.249977111117893"/>
      </top>
      <bottom style="thin">
        <color theme="0" tint="-0.249977111117893"/>
      </bottom>
      <diagonal/>
    </border>
    <border>
      <left/>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double">
        <color theme="0" tint="-0.34998626667073579"/>
      </left>
      <right style="thin">
        <color theme="0" tint="-0.34998626667073579"/>
      </right>
      <top style="thick">
        <color theme="4" tint="0.39997558519241921"/>
      </top>
      <bottom style="medium">
        <color theme="2"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34998626667073579"/>
      </left>
      <right style="double">
        <color theme="0" tint="-0.34998626667073579"/>
      </right>
      <top/>
      <bottom/>
      <diagonal/>
    </border>
  </borders>
  <cellStyleXfs count="4">
    <xf numFmtId="0" fontId="0" fillId="0" borderId="0"/>
    <xf numFmtId="0" fontId="1" fillId="0" borderId="0"/>
    <xf numFmtId="0" fontId="2" fillId="0" borderId="0"/>
    <xf numFmtId="0" fontId="9" fillId="0" borderId="0"/>
  </cellStyleXfs>
  <cellXfs count="81">
    <xf numFmtId="0" fontId="0" fillId="0" borderId="0" xfId="0"/>
    <xf numFmtId="0" fontId="0" fillId="0" borderId="0" xfId="0" applyAlignment="1">
      <alignment wrapText="1"/>
    </xf>
    <xf numFmtId="0" fontId="5" fillId="3" borderId="0" xfId="0" applyFont="1" applyFill="1" applyAlignment="1">
      <alignment wrapText="1"/>
    </xf>
    <xf numFmtId="0" fontId="6" fillId="3" borderId="0" xfId="0" applyFont="1" applyFill="1" applyAlignment="1">
      <alignment vertical="center"/>
    </xf>
    <xf numFmtId="0" fontId="5" fillId="0" borderId="0" xfId="0" applyFont="1" applyAlignment="1">
      <alignment wrapText="1"/>
    </xf>
    <xf numFmtId="0" fontId="5" fillId="0" borderId="0" xfId="0" applyFont="1"/>
    <xf numFmtId="0" fontId="5" fillId="3" borderId="0" xfId="0" applyFont="1" applyFill="1"/>
    <xf numFmtId="0" fontId="7" fillId="0" borderId="0" xfId="0" applyFont="1" applyAlignment="1">
      <alignment horizontal="left" vertical="center" wrapText="1" indent="1"/>
    </xf>
    <xf numFmtId="0" fontId="9" fillId="0" borderId="0" xfId="3"/>
    <xf numFmtId="0" fontId="10" fillId="0" borderId="8" xfId="3" applyFont="1" applyBorder="1" applyAlignment="1">
      <alignment horizontal="left" vertical="center" wrapText="1" indent="2"/>
    </xf>
    <xf numFmtId="0" fontId="5" fillId="2" borderId="1" xfId="0" applyFont="1" applyFill="1" applyBorder="1" applyAlignment="1">
      <alignment horizontal="center" vertical="center" wrapText="1"/>
    </xf>
    <xf numFmtId="0" fontId="4" fillId="10" borderId="1" xfId="0" applyFont="1" applyFill="1" applyBorder="1" applyAlignment="1">
      <alignment horizontal="left" vertical="center" indent="1"/>
    </xf>
    <xf numFmtId="0" fontId="5" fillId="11" borderId="1" xfId="0" applyFont="1" applyFill="1" applyBorder="1" applyAlignment="1">
      <alignment horizontal="center" vertical="center" wrapText="1"/>
    </xf>
    <xf numFmtId="164" fontId="4" fillId="0" borderId="4" xfId="0" applyNumberFormat="1" applyFont="1" applyBorder="1" applyAlignment="1">
      <alignment horizontal="center" vertical="center"/>
    </xf>
    <xf numFmtId="0" fontId="4" fillId="0" borderId="1" xfId="0" applyFont="1" applyBorder="1" applyAlignment="1">
      <alignment horizontal="left" vertical="center" wrapText="1" indent="1"/>
    </xf>
    <xf numFmtId="0" fontId="4" fillId="0" borderId="3" xfId="0" applyFont="1" applyBorder="1" applyAlignment="1">
      <alignment horizontal="left" vertical="center" wrapText="1" indent="1"/>
    </xf>
    <xf numFmtId="164" fontId="4" fillId="0" borderId="1" xfId="0" applyNumberFormat="1" applyFont="1" applyBorder="1" applyAlignment="1">
      <alignment horizontal="left" vertical="center" indent="1"/>
    </xf>
    <xf numFmtId="0" fontId="5" fillId="5" borderId="1" xfId="0" applyFont="1" applyFill="1" applyBorder="1" applyAlignment="1">
      <alignment horizontal="left" vertical="center" wrapText="1" indent="1"/>
    </xf>
    <xf numFmtId="0" fontId="5" fillId="5" borderId="4" xfId="0" applyFont="1" applyFill="1" applyBorder="1" applyAlignment="1">
      <alignment horizontal="center" vertical="center" wrapText="1"/>
    </xf>
    <xf numFmtId="0" fontId="5" fillId="2" borderId="3" xfId="0" applyFont="1" applyFill="1" applyBorder="1" applyAlignment="1">
      <alignment horizontal="left" vertical="center" wrapText="1" indent="1"/>
    </xf>
    <xf numFmtId="0" fontId="5" fillId="2" borderId="1" xfId="0" applyFont="1" applyFill="1" applyBorder="1" applyAlignment="1">
      <alignment horizontal="left" vertical="center" wrapText="1" indent="1"/>
    </xf>
    <xf numFmtId="0" fontId="16" fillId="3" borderId="15" xfId="0" applyFont="1" applyFill="1" applyBorder="1" applyAlignment="1">
      <alignment vertical="center"/>
    </xf>
    <xf numFmtId="0" fontId="8" fillId="0" borderId="15" xfId="0" applyFont="1" applyBorder="1" applyAlignment="1">
      <alignment horizontal="left" vertical="center" wrapText="1" indent="1"/>
    </xf>
    <xf numFmtId="0" fontId="7" fillId="0" borderId="15" xfId="0" applyFont="1" applyBorder="1" applyAlignment="1">
      <alignment horizontal="left" vertical="center" wrapText="1" indent="1"/>
    </xf>
    <xf numFmtId="0" fontId="11" fillId="9" borderId="2" xfId="0" applyFont="1" applyFill="1" applyBorder="1" applyAlignment="1">
      <alignment horizontal="center" vertical="center" wrapText="1"/>
    </xf>
    <xf numFmtId="0" fontId="11" fillId="6" borderId="2" xfId="0" applyFont="1" applyFill="1" applyBorder="1" applyAlignment="1">
      <alignment horizontal="left" vertical="center" wrapText="1" indent="1"/>
    </xf>
    <xf numFmtId="0" fontId="11" fillId="13" borderId="1" xfId="0" applyFont="1" applyFill="1" applyBorder="1" applyAlignment="1">
      <alignment horizontal="left" vertical="center" wrapText="1" indent="1"/>
    </xf>
    <xf numFmtId="0" fontId="11" fillId="6" borderId="2" xfId="0" applyFont="1" applyFill="1" applyBorder="1" applyAlignment="1">
      <alignment horizontal="center" vertical="center" wrapText="1"/>
    </xf>
    <xf numFmtId="0" fontId="11" fillId="6" borderId="14" xfId="0" applyFont="1" applyFill="1" applyBorder="1" applyAlignment="1">
      <alignment horizontal="center" vertical="center" wrapText="1"/>
    </xf>
    <xf numFmtId="0" fontId="11" fillId="7" borderId="5" xfId="0" applyFont="1" applyFill="1" applyBorder="1" applyAlignment="1">
      <alignment horizontal="left" vertical="center" wrapText="1" indent="1"/>
    </xf>
    <xf numFmtId="0" fontId="11" fillId="7" borderId="2" xfId="0" applyFont="1" applyFill="1" applyBorder="1" applyAlignment="1">
      <alignment horizontal="center" vertical="center" wrapText="1"/>
    </xf>
    <xf numFmtId="1" fontId="17" fillId="12" borderId="1" xfId="0" applyNumberFormat="1" applyFont="1" applyFill="1" applyBorder="1" applyAlignment="1">
      <alignment horizontal="center" vertical="center"/>
    </xf>
    <xf numFmtId="0" fontId="17" fillId="5" borderId="1" xfId="0" applyFont="1" applyFill="1" applyBorder="1" applyAlignment="1">
      <alignment horizontal="center" vertical="center"/>
    </xf>
    <xf numFmtId="0" fontId="17" fillId="2" borderId="1" xfId="0" applyFont="1" applyFill="1" applyBorder="1" applyAlignment="1">
      <alignment horizontal="center" vertical="center"/>
    </xf>
    <xf numFmtId="0" fontId="5" fillId="0" borderId="0" xfId="0" applyFont="1" applyAlignment="1">
      <alignment horizontal="left" vertical="center" wrapText="1" indent="1"/>
    </xf>
    <xf numFmtId="0" fontId="5" fillId="3" borderId="0" xfId="0" applyFont="1" applyFill="1" applyAlignment="1">
      <alignment horizontal="left" vertical="center" wrapText="1" indent="1"/>
    </xf>
    <xf numFmtId="0" fontId="19" fillId="0" borderId="0" xfId="0" applyFont="1"/>
    <xf numFmtId="0" fontId="5" fillId="0" borderId="6" xfId="0" applyFont="1" applyBorder="1" applyAlignment="1">
      <alignment horizontal="left" vertical="center" wrapText="1" indent="1"/>
    </xf>
    <xf numFmtId="0" fontId="5" fillId="4" borderId="6" xfId="0" applyFont="1" applyFill="1" applyBorder="1" applyAlignment="1">
      <alignment horizontal="left" vertical="center" wrapText="1" indent="1"/>
    </xf>
    <xf numFmtId="0" fontId="5" fillId="14" borderId="6" xfId="0" applyFont="1" applyFill="1" applyBorder="1" applyAlignment="1">
      <alignment horizontal="left" vertical="center" wrapText="1" indent="1"/>
    </xf>
    <xf numFmtId="0" fontId="5" fillId="15" borderId="6" xfId="0" applyFont="1" applyFill="1" applyBorder="1" applyAlignment="1">
      <alignment horizontal="left" vertical="center" wrapText="1" indent="1"/>
    </xf>
    <xf numFmtId="0" fontId="5" fillId="16" borderId="6" xfId="0" applyFont="1" applyFill="1" applyBorder="1" applyAlignment="1">
      <alignment horizontal="left" vertical="center" wrapText="1" indent="1"/>
    </xf>
    <xf numFmtId="0" fontId="20" fillId="3" borderId="6" xfId="0" applyFont="1" applyFill="1" applyBorder="1" applyAlignment="1">
      <alignment horizontal="left" vertical="center" wrapText="1" indent="1" readingOrder="1"/>
    </xf>
    <xf numFmtId="0" fontId="20" fillId="17" borderId="6" xfId="0" applyFont="1" applyFill="1" applyBorder="1" applyAlignment="1">
      <alignment horizontal="left" vertical="center" indent="1"/>
    </xf>
    <xf numFmtId="0" fontId="20" fillId="18" borderId="6" xfId="0" applyFont="1" applyFill="1" applyBorder="1" applyAlignment="1">
      <alignment horizontal="left" vertical="center" indent="1"/>
    </xf>
    <xf numFmtId="0" fontId="20" fillId="4" borderId="6" xfId="0" applyFont="1" applyFill="1" applyBorder="1" applyAlignment="1">
      <alignment horizontal="center" vertical="center"/>
    </xf>
    <xf numFmtId="0" fontId="5" fillId="3" borderId="6" xfId="0" applyFont="1" applyFill="1" applyBorder="1" applyAlignment="1">
      <alignment horizontal="left" vertical="center" wrapText="1" indent="1"/>
    </xf>
    <xf numFmtId="0" fontId="20" fillId="19" borderId="6" xfId="0" applyFont="1" applyFill="1" applyBorder="1" applyAlignment="1">
      <alignment horizontal="left" vertical="center" indent="1"/>
    </xf>
    <xf numFmtId="0" fontId="20" fillId="20" borderId="6" xfId="0" applyFont="1" applyFill="1" applyBorder="1" applyAlignment="1">
      <alignment horizontal="center" vertical="center"/>
    </xf>
    <xf numFmtId="0" fontId="14" fillId="4" borderId="19" xfId="0" applyFont="1" applyFill="1" applyBorder="1" applyAlignment="1">
      <alignment horizontal="center" vertical="center" wrapText="1"/>
    </xf>
    <xf numFmtId="0" fontId="3" fillId="3" borderId="0" xfId="0" applyFont="1" applyFill="1" applyAlignment="1">
      <alignment vertical="center"/>
    </xf>
    <xf numFmtId="0" fontId="21" fillId="3" borderId="0" xfId="0" applyFont="1" applyFill="1" applyAlignment="1">
      <alignment vertical="center"/>
    </xf>
    <xf numFmtId="0" fontId="12" fillId="3" borderId="6" xfId="0" applyFont="1" applyFill="1" applyBorder="1" applyAlignment="1">
      <alignment horizontal="center" vertical="center" wrapText="1"/>
    </xf>
    <xf numFmtId="0" fontId="22" fillId="3" borderId="6" xfId="0" applyFont="1" applyFill="1" applyBorder="1" applyAlignment="1">
      <alignment horizontal="center" vertical="center" wrapText="1" readingOrder="1"/>
    </xf>
    <xf numFmtId="0" fontId="18" fillId="0" borderId="18" xfId="0" applyFont="1" applyBorder="1" applyAlignment="1">
      <alignment horizontal="left" vertical="top" wrapText="1"/>
    </xf>
    <xf numFmtId="0" fontId="0" fillId="0" borderId="15" xfId="0" applyBorder="1"/>
    <xf numFmtId="0" fontId="0" fillId="0" borderId="18" xfId="0" applyBorder="1"/>
    <xf numFmtId="0" fontId="15" fillId="8" borderId="22" xfId="0" applyFont="1" applyFill="1" applyBorder="1" applyAlignment="1">
      <alignment horizontal="center" vertical="center" wrapText="1"/>
    </xf>
    <xf numFmtId="0" fontId="0" fillId="0" borderId="16" xfId="0" applyBorder="1"/>
    <xf numFmtId="0" fontId="0" fillId="0" borderId="17" xfId="0" applyBorder="1"/>
    <xf numFmtId="0" fontId="13" fillId="9" borderId="2" xfId="0" applyFont="1" applyFill="1" applyBorder="1" applyAlignment="1">
      <alignment horizontal="center" vertical="center" textRotation="90" wrapText="1"/>
    </xf>
    <xf numFmtId="0" fontId="0" fillId="0" borderId="2" xfId="0" applyBorder="1"/>
    <xf numFmtId="0" fontId="11" fillId="6" borderId="2" xfId="0" applyFont="1" applyFill="1" applyBorder="1" applyAlignment="1">
      <alignment horizontal="left" vertical="center" wrapText="1" indent="1"/>
    </xf>
    <xf numFmtId="0" fontId="0" fillId="0" borderId="5" xfId="0" applyBorder="1"/>
    <xf numFmtId="0" fontId="11" fillId="21" borderId="6" xfId="0" applyFont="1" applyFill="1" applyBorder="1" applyAlignment="1">
      <alignment horizontal="left" vertical="center" wrapText="1" indent="1"/>
    </xf>
    <xf numFmtId="0" fontId="0" fillId="0" borderId="9" xfId="0" applyBorder="1"/>
    <xf numFmtId="0" fontId="0" fillId="0" borderId="10" xfId="0" applyBorder="1"/>
    <xf numFmtId="0" fontId="11" fillId="21" borderId="6" xfId="0" applyFont="1" applyFill="1" applyBorder="1" applyAlignment="1">
      <alignment horizontal="center" vertical="center" wrapText="1"/>
    </xf>
    <xf numFmtId="0" fontId="11" fillId="21" borderId="10" xfId="0" applyFont="1" applyFill="1" applyBorder="1" applyAlignment="1">
      <alignment horizontal="center" vertical="center" wrapText="1"/>
    </xf>
    <xf numFmtId="0" fontId="13" fillId="3" borderId="7" xfId="0" applyFont="1" applyFill="1" applyBorder="1" applyAlignment="1">
      <alignment horizontal="left" vertical="center" indent="1"/>
    </xf>
    <xf numFmtId="0" fontId="0" fillId="0" borderId="11" xfId="0" applyBorder="1"/>
    <xf numFmtId="0" fontId="0" fillId="0" borderId="12" xfId="0" applyBorder="1"/>
    <xf numFmtId="49" fontId="13" fillId="22" borderId="7" xfId="0" applyNumberFormat="1" applyFont="1" applyFill="1" applyBorder="1" applyAlignment="1">
      <alignment horizontal="center" vertical="center"/>
    </xf>
    <xf numFmtId="165" fontId="13" fillId="22" borderId="7" xfId="0" applyNumberFormat="1" applyFont="1" applyFill="1" applyBorder="1" applyAlignment="1">
      <alignment horizontal="center" vertical="center"/>
    </xf>
    <xf numFmtId="0" fontId="11" fillId="21" borderId="23" xfId="0" applyFont="1" applyFill="1" applyBorder="1" applyAlignment="1">
      <alignment horizontal="left" vertical="center" wrapText="1" indent="1"/>
    </xf>
    <xf numFmtId="0" fontId="0" fillId="0" borderId="20" xfId="0" applyBorder="1"/>
    <xf numFmtId="0" fontId="0" fillId="0" borderId="21" xfId="0" applyBorder="1"/>
    <xf numFmtId="0" fontId="11" fillId="3" borderId="7" xfId="0" applyFont="1" applyFill="1" applyBorder="1" applyAlignment="1">
      <alignment horizontal="left" vertical="center" wrapText="1" indent="1"/>
    </xf>
    <xf numFmtId="0" fontId="11" fillId="22" borderId="7" xfId="0" applyFont="1" applyFill="1" applyBorder="1" applyAlignment="1">
      <alignment horizontal="center" vertical="center"/>
    </xf>
    <xf numFmtId="0" fontId="4" fillId="0" borderId="13" xfId="0" applyFont="1" applyFill="1" applyBorder="1" applyAlignment="1">
      <alignment horizontal="left" vertical="center" wrapText="1" indent="1"/>
    </xf>
    <xf numFmtId="164" fontId="4" fillId="0" borderId="24" xfId="0" applyNumberFormat="1" applyFont="1" applyFill="1" applyBorder="1" applyAlignment="1">
      <alignment horizontal="center" vertical="center"/>
    </xf>
  </cellXfs>
  <cellStyles count="4">
    <cellStyle name="Followed Hyperlink" xfId="2" builtinId="9" hidden="1"/>
    <cellStyle name="Hyperlink" xfId="1" builtinId="8" hidden="1"/>
    <cellStyle name="Normal" xfId="0" builtinId="0"/>
    <cellStyle name="Normal 2" xfId="3" xr:uid="{00000000-0005-0000-0000-000003000000}"/>
  </cellStyles>
  <dxfs count="10">
    <dxf>
      <font>
        <color theme="1"/>
      </font>
      <fill>
        <patternFill>
          <bgColor rgb="FF92D050"/>
        </patternFill>
      </fill>
    </dxf>
    <dxf>
      <font>
        <color theme="1"/>
      </font>
      <fill>
        <patternFill>
          <bgColor rgb="FF03C25B"/>
        </patternFill>
      </fill>
    </dxf>
    <dxf>
      <fill>
        <patternFill>
          <bgColor theme="7" tint="0.39994506668294322"/>
        </patternFill>
      </fill>
    </dxf>
    <dxf>
      <fill>
        <patternFill>
          <bgColor theme="0" tint="-0.14993743705557422"/>
        </patternFill>
      </fill>
    </dxf>
    <dxf>
      <fill>
        <patternFill>
          <bgColor theme="7" tint="0.79998168889431442"/>
        </patternFill>
      </fill>
    </dxf>
    <dxf>
      <fill>
        <patternFill>
          <bgColor rgb="FFABEFEA"/>
        </patternFill>
      </fill>
    </dxf>
    <dxf>
      <fill>
        <patternFill>
          <bgColor rgb="FF5EE9E7"/>
        </patternFill>
      </fill>
    </dxf>
    <dxf>
      <font>
        <color theme="1"/>
      </font>
      <fill>
        <patternFill>
          <bgColor rgb="FFFF0000"/>
        </patternFill>
      </fill>
    </dxf>
    <dxf>
      <font>
        <color theme="1"/>
      </font>
      <fill>
        <patternFill>
          <bgColor rgb="FFFFC000"/>
        </patternFill>
      </fill>
    </dxf>
    <dxf>
      <font>
        <color theme="1"/>
      </font>
      <fill>
        <patternFill>
          <bgColor rgb="FF00EAF0"/>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ericawaite/Desktop/Free-FMEA-Templates&#172;_DFMEAs-PFMEAs-System-Software-and-Service_Hannah-Dubois/REF/1ref1-IC-FMEA-Template-8929.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Risk-Assessment-and-Control-Template25"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MEA Template"/>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 Assessment &amp; Control"/>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Mesh">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Mesh">
      <a:maj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Mesh">
      <a:fillStyleLst>
        <a:solidFill>
          <a:schemeClr val="phClr"/>
        </a:solidFill>
        <a:gradFill rotWithShape="1">
          <a:gsLst>
            <a:gs pos="0">
              <a:schemeClr val="phClr">
                <a:tint val="60000"/>
                <a:lumMod val="110000"/>
              </a:schemeClr>
            </a:gs>
            <a:gs pos="100000">
              <a:schemeClr val="phClr">
                <a:tint val="82000"/>
              </a:schemeClr>
            </a:gs>
          </a:gsLst>
          <a:lin ang="5400000" scaled="0"/>
        </a:gradFill>
        <a:gradFill rotWithShape="1">
          <a:gsLst>
            <a:gs pos="0">
              <a:schemeClr val="phClr">
                <a:tint val="96000"/>
                <a:lumMod val="104000"/>
              </a:schemeClr>
            </a:gs>
            <a:gs pos="100000">
              <a:schemeClr val="phClr">
                <a:shade val="84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innerShdw blurRad="50800" dist="25400" dir="13500000">
              <a:srgbClr val="000000">
                <a:alpha val="55000"/>
              </a:srgbClr>
            </a:innerShdw>
          </a:effectLst>
        </a:effectStyle>
        <a:effectStyle>
          <a:effectLst>
            <a:outerShdw blurRad="50800" dist="38100" dir="5400000" rotWithShape="0">
              <a:srgbClr val="000000">
                <a:alpha val="60000"/>
              </a:srgbClr>
            </a:outerShdw>
          </a:effectLst>
          <a:scene3d>
            <a:camera prst="orthographicFront">
              <a:rot lat="0" lon="0" rev="0"/>
            </a:camera>
            <a:lightRig rig="threePt" dir="tl"/>
          </a:scene3d>
          <a:sp3d>
            <a:bevelT w="25400" h="25400" prst="slope"/>
          </a:sp3d>
        </a:effectStyle>
      </a:effectStyleLst>
      <a:bgFillStyleLst>
        <a:solidFill>
          <a:schemeClr val="phClr"/>
        </a:solidFill>
        <a:gradFill rotWithShape="1">
          <a:gsLst>
            <a:gs pos="0">
              <a:schemeClr val="phClr">
                <a:tint val="90000"/>
                <a:lumMod val="110000"/>
              </a:schemeClr>
            </a:gs>
            <a:gs pos="100000">
              <a:schemeClr val="phClr">
                <a:shade val="64000"/>
                <a:lumMod val="98000"/>
              </a:schemeClr>
            </a:gs>
          </a:gsLst>
          <a:lin ang="5400000" scaled="0"/>
        </a:gradFill>
        <a:blipFill rotWithShape="1">
          <a:blip xmlns:r="http://schemas.openxmlformats.org/officeDocument/2006/relationships">
            <a:duotone>
              <a:schemeClr val="phClr">
                <a:shade val="28000"/>
                <a:satMod val="94000"/>
                <a:lumMod val="20000"/>
              </a:schemeClr>
              <a:schemeClr val="phClr">
                <a:tint val="94000"/>
                <a:shade val="84000"/>
                <a:satMod val="148000"/>
                <a:lumMod val="114000"/>
              </a:schemeClr>
            </a:duotone>
          </a:blip>
          <a:stretch/>
        </a:blipFill>
      </a:bgFillStyleLst>
    </a:fmtScheme>
  </a:themeElements>
  <a:objectDefaults/>
  <a:extraClrSchemeLst/>
  <a:extLst>
    <a:ext uri="{05A4C25C-085E-4340-85A3-A5531E510DB2}">
      <thm15:themeFamily xmlns:thm15="http://schemas.microsoft.com/office/thememl/2012/main" name="Mesh" id="{789EC3FE-34FD-429C-9918-760025E6C145}" vid="{B8BE45C0-8141-4D58-8C71-A009BC26FBBB}"/>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39997558519241921"/>
    <pageSetUpPr fitToPage="1"/>
  </sheetPr>
  <dimension ref="A1:IZ27"/>
  <sheetViews>
    <sheetView showGridLines="0" tabSelected="1" zoomScaleNormal="100" zoomScalePageLayoutView="80" workbookViewId="0">
      <pane ySplit="1" topLeftCell="A2" activePane="bottomLeft" state="frozen"/>
      <selection pane="bottomLeft" activeCell="B6" sqref="B6:G6"/>
    </sheetView>
  </sheetViews>
  <sheetFormatPr defaultColWidth="11.5546875" defaultRowHeight="18" customHeight="1" x14ac:dyDescent="0.3"/>
  <cols>
    <col min="1" max="1" width="2.6640625" customWidth="1"/>
    <col min="2" max="2" width="4.6640625" customWidth="1"/>
    <col min="3" max="4" width="19.6640625" customWidth="1"/>
    <col min="5" max="6" width="32.21875" customWidth="1"/>
    <col min="7" max="7" width="24.6640625" customWidth="1"/>
    <col min="8" max="8" width="6.44140625" customWidth="1"/>
    <col min="9" max="9" width="24.77734375" customWidth="1"/>
    <col min="10" max="10" width="9" customWidth="1"/>
    <col min="11" max="11" width="43" customWidth="1"/>
    <col min="12" max="12" width="24.6640625" customWidth="1"/>
    <col min="13" max="13" width="6.44140625" customWidth="1"/>
    <col min="14" max="14" width="8.109375" customWidth="1"/>
    <col min="15" max="15" width="29.109375" customWidth="1"/>
    <col min="16" max="16" width="24" customWidth="1"/>
    <col min="17" max="17" width="21.88671875" customWidth="1"/>
    <col min="18" max="18" width="15.6640625" customWidth="1"/>
    <col min="19" max="19" width="10.6640625" customWidth="1"/>
    <col min="20" max="22" width="6.44140625" customWidth="1"/>
    <col min="23" max="23" width="8.109375" customWidth="1"/>
    <col min="24" max="24" width="2.6640625" customWidth="1"/>
  </cols>
  <sheetData>
    <row r="1" spans="1:260" ht="21.75" customHeight="1" x14ac:dyDescent="0.3"/>
    <row r="2" spans="1:260" s="4" customFormat="1" ht="42" customHeight="1" x14ac:dyDescent="0.25">
      <c r="A2" s="2"/>
      <c r="B2" s="3" t="s">
        <v>0</v>
      </c>
      <c r="M2" s="6"/>
      <c r="N2" s="6"/>
      <c r="O2" s="6"/>
      <c r="P2" s="6"/>
      <c r="Q2" s="6"/>
      <c r="R2" s="6"/>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c r="DL2" s="2"/>
      <c r="DM2" s="2"/>
      <c r="DN2" s="2"/>
      <c r="DO2" s="2"/>
      <c r="DP2" s="2"/>
      <c r="DQ2" s="2"/>
      <c r="DR2" s="2"/>
      <c r="DS2" s="2"/>
      <c r="DT2" s="2"/>
      <c r="DU2" s="2"/>
      <c r="DV2" s="2"/>
      <c r="DW2" s="2"/>
      <c r="DX2" s="2"/>
      <c r="DY2" s="2"/>
      <c r="DZ2" s="2"/>
      <c r="EA2" s="2"/>
      <c r="EB2" s="2"/>
      <c r="EC2" s="2"/>
      <c r="ED2" s="2"/>
      <c r="EE2" s="2"/>
      <c r="EF2" s="2"/>
      <c r="EG2" s="2"/>
      <c r="EH2" s="2"/>
      <c r="EI2" s="2"/>
      <c r="EJ2" s="2"/>
      <c r="EK2" s="2"/>
      <c r="EL2" s="2"/>
      <c r="EM2" s="2"/>
      <c r="EN2" s="2"/>
      <c r="EO2" s="2"/>
      <c r="EP2" s="2"/>
      <c r="EQ2" s="2"/>
      <c r="ER2" s="2"/>
      <c r="ES2" s="2"/>
      <c r="ET2" s="2"/>
      <c r="EU2" s="2"/>
      <c r="EV2" s="2"/>
      <c r="EW2" s="2"/>
      <c r="EX2" s="2"/>
      <c r="EY2" s="2"/>
      <c r="EZ2" s="2"/>
      <c r="FA2" s="2"/>
      <c r="FB2" s="2"/>
      <c r="FC2" s="2"/>
      <c r="FD2" s="2"/>
      <c r="FE2" s="2"/>
      <c r="FF2" s="2"/>
      <c r="FG2" s="2"/>
      <c r="FH2" s="2"/>
      <c r="FI2" s="2"/>
      <c r="FJ2" s="2"/>
      <c r="FK2" s="2"/>
      <c r="FL2" s="2"/>
      <c r="FM2" s="2"/>
      <c r="FN2" s="2"/>
      <c r="FO2" s="2"/>
      <c r="FP2" s="2"/>
      <c r="FQ2" s="2"/>
      <c r="FR2" s="2"/>
      <c r="FS2" s="2"/>
      <c r="FT2" s="2"/>
      <c r="FU2" s="2"/>
      <c r="FV2" s="2"/>
      <c r="FW2" s="2"/>
      <c r="FX2" s="2"/>
      <c r="FY2" s="2"/>
      <c r="FZ2" s="2"/>
      <c r="GA2" s="2"/>
      <c r="GB2" s="2"/>
      <c r="GC2" s="2"/>
      <c r="GD2" s="2"/>
      <c r="GE2" s="2"/>
      <c r="GF2" s="2"/>
      <c r="GG2" s="2"/>
      <c r="GH2" s="2"/>
      <c r="GI2" s="2"/>
      <c r="GJ2" s="2"/>
      <c r="GK2" s="2"/>
      <c r="GL2" s="2"/>
      <c r="GM2" s="2"/>
      <c r="GN2" s="2"/>
      <c r="GO2" s="2"/>
      <c r="GP2" s="2"/>
      <c r="GQ2" s="2"/>
      <c r="GR2" s="2"/>
      <c r="GS2" s="2"/>
      <c r="GT2" s="2"/>
      <c r="GU2" s="2"/>
      <c r="GV2" s="2"/>
      <c r="GW2" s="2"/>
      <c r="GX2" s="2"/>
      <c r="GY2" s="2"/>
      <c r="GZ2" s="2"/>
      <c r="HA2" s="2"/>
      <c r="HB2" s="2"/>
      <c r="HC2" s="2"/>
      <c r="HD2" s="2"/>
      <c r="HE2" s="2"/>
      <c r="HF2" s="2"/>
      <c r="HG2" s="2"/>
      <c r="HH2" s="2"/>
      <c r="HI2" s="2"/>
      <c r="HJ2" s="2"/>
      <c r="HK2" s="2"/>
      <c r="HL2" s="2"/>
      <c r="HM2" s="2"/>
      <c r="HN2" s="2"/>
      <c r="HO2" s="2"/>
      <c r="HP2" s="2"/>
      <c r="HQ2" s="2"/>
      <c r="HR2" s="2"/>
      <c r="HS2" s="2"/>
      <c r="HT2" s="2"/>
      <c r="HU2" s="2"/>
      <c r="HV2" s="2"/>
      <c r="HW2" s="2"/>
      <c r="HX2" s="2"/>
      <c r="HY2" s="2"/>
      <c r="HZ2" s="2"/>
      <c r="IA2" s="2"/>
      <c r="IB2" s="2"/>
      <c r="IC2" s="2"/>
      <c r="ID2" s="2"/>
      <c r="IE2" s="2"/>
      <c r="IF2" s="2"/>
      <c r="IG2" s="2"/>
      <c r="IH2" s="2"/>
      <c r="II2" s="2"/>
      <c r="IJ2" s="2"/>
      <c r="IK2" s="2"/>
      <c r="IL2" s="2"/>
      <c r="IM2" s="2"/>
      <c r="IN2" s="2"/>
      <c r="IO2" s="2"/>
      <c r="IP2" s="2"/>
      <c r="IQ2" s="2"/>
      <c r="IR2" s="2"/>
      <c r="IS2" s="2"/>
      <c r="IT2" s="2"/>
      <c r="IU2" s="2"/>
      <c r="IV2" s="2"/>
    </row>
    <row r="3" spans="1:260" s="5" customFormat="1" ht="24.95" customHeight="1" x14ac:dyDescent="0.3">
      <c r="B3" s="64" t="s">
        <v>1</v>
      </c>
      <c r="C3" s="65"/>
      <c r="D3" s="65"/>
      <c r="E3" s="65"/>
      <c r="F3" s="65"/>
      <c r="G3" s="66"/>
      <c r="H3" s="67" t="s">
        <v>2</v>
      </c>
      <c r="I3" s="66"/>
      <c r="J3" s="68" t="s">
        <v>3</v>
      </c>
      <c r="K3" s="66"/>
      <c r="L3" s="67" t="s">
        <v>4</v>
      </c>
      <c r="M3" s="66"/>
      <c r="N3" s="6"/>
      <c r="O3" s="6"/>
      <c r="P3" s="6"/>
      <c r="Q3" s="6"/>
      <c r="R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row>
    <row r="4" spans="1:260" s="5" customFormat="1" ht="39.950000000000003" customHeight="1" thickBot="1" x14ac:dyDescent="0.35">
      <c r="B4" s="69" t="s">
        <v>157</v>
      </c>
      <c r="C4" s="70"/>
      <c r="D4" s="70"/>
      <c r="E4" s="70"/>
      <c r="F4" s="70"/>
      <c r="G4" s="71"/>
      <c r="H4" s="72"/>
      <c r="I4" s="71"/>
      <c r="J4" s="72"/>
      <c r="K4" s="71"/>
      <c r="L4" s="73" t="s">
        <v>108</v>
      </c>
      <c r="M4" s="71"/>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row>
    <row r="5" spans="1:260" s="5" customFormat="1" ht="24.95" customHeight="1" x14ac:dyDescent="0.3">
      <c r="B5" s="64" t="s">
        <v>5</v>
      </c>
      <c r="C5" s="65"/>
      <c r="D5" s="65"/>
      <c r="E5" s="65"/>
      <c r="F5" s="65"/>
      <c r="G5" s="66"/>
      <c r="H5" s="67" t="s">
        <v>6</v>
      </c>
      <c r="I5" s="66"/>
      <c r="J5" s="67" t="s">
        <v>7</v>
      </c>
      <c r="K5" s="66"/>
      <c r="L5" s="67" t="s">
        <v>8</v>
      </c>
      <c r="M5" s="66"/>
      <c r="N5" s="6"/>
      <c r="O5" s="6"/>
      <c r="P5" s="6"/>
      <c r="Q5" s="6"/>
      <c r="R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row>
    <row r="6" spans="1:260" s="5" customFormat="1" ht="39.950000000000003" customHeight="1" thickBot="1" x14ac:dyDescent="0.35">
      <c r="B6" s="69"/>
      <c r="C6" s="70"/>
      <c r="D6" s="70"/>
      <c r="E6" s="70"/>
      <c r="F6" s="70"/>
      <c r="G6" s="71"/>
      <c r="H6" s="78" t="s">
        <v>107</v>
      </c>
      <c r="I6" s="71"/>
      <c r="J6" s="78"/>
      <c r="K6" s="71"/>
      <c r="L6" s="73"/>
      <c r="M6" s="71"/>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row>
    <row r="7" spans="1:260" s="5" customFormat="1" ht="24.95" customHeight="1" x14ac:dyDescent="0.3">
      <c r="B7" s="74" t="s">
        <v>9</v>
      </c>
      <c r="C7" s="75"/>
      <c r="D7" s="75"/>
      <c r="E7" s="75"/>
      <c r="F7" s="75"/>
      <c r="G7" s="75"/>
      <c r="H7" s="75"/>
      <c r="I7" s="75"/>
      <c r="J7" s="75"/>
      <c r="K7" s="75"/>
      <c r="L7" s="75"/>
      <c r="M7" s="7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c r="EG7" s="6"/>
      <c r="EH7" s="6"/>
      <c r="EI7" s="6"/>
      <c r="EJ7" s="6"/>
      <c r="EK7" s="6"/>
      <c r="EL7" s="6"/>
      <c r="EM7" s="6"/>
      <c r="EN7" s="6"/>
      <c r="EO7" s="6"/>
      <c r="EP7" s="6"/>
      <c r="EQ7" s="6"/>
      <c r="ER7" s="6"/>
      <c r="ES7" s="6"/>
      <c r="ET7" s="6"/>
      <c r="EU7" s="6"/>
      <c r="EV7" s="6"/>
      <c r="EW7" s="6"/>
      <c r="EX7" s="6"/>
      <c r="EY7" s="6"/>
      <c r="EZ7" s="6"/>
      <c r="FA7" s="6"/>
      <c r="FB7" s="6"/>
      <c r="FC7" s="6"/>
      <c r="FD7" s="6"/>
      <c r="FE7" s="6"/>
      <c r="FF7" s="6"/>
      <c r="FG7" s="6"/>
      <c r="FH7" s="6"/>
      <c r="FI7" s="6"/>
      <c r="FJ7" s="6"/>
      <c r="FK7" s="6"/>
      <c r="FL7" s="6"/>
      <c r="FM7" s="6"/>
      <c r="FN7" s="6"/>
      <c r="FO7" s="6"/>
      <c r="FP7" s="6"/>
      <c r="FQ7" s="6"/>
      <c r="FR7" s="6"/>
      <c r="FS7" s="6"/>
      <c r="FT7" s="6"/>
      <c r="FU7" s="6"/>
      <c r="FV7" s="6"/>
      <c r="FW7" s="6"/>
      <c r="FX7" s="6"/>
      <c r="FY7" s="6"/>
      <c r="FZ7" s="6"/>
      <c r="GA7" s="6"/>
      <c r="GB7" s="6"/>
      <c r="GC7" s="6"/>
      <c r="GD7" s="6"/>
      <c r="GE7" s="6"/>
      <c r="GF7" s="6"/>
      <c r="GG7" s="6"/>
      <c r="GH7" s="6"/>
      <c r="GI7" s="6"/>
      <c r="GJ7" s="6"/>
      <c r="GK7" s="6"/>
      <c r="GL7" s="6"/>
      <c r="GM7" s="6"/>
      <c r="GN7" s="6"/>
      <c r="GO7" s="6"/>
      <c r="GP7" s="6"/>
      <c r="GQ7" s="6"/>
      <c r="GR7" s="6"/>
      <c r="GS7" s="6"/>
      <c r="GT7" s="6"/>
      <c r="GU7" s="6"/>
      <c r="GV7" s="6"/>
      <c r="GW7" s="6"/>
      <c r="GX7" s="6"/>
      <c r="GY7" s="6"/>
      <c r="GZ7" s="6"/>
      <c r="HA7" s="6"/>
      <c r="HB7" s="6"/>
      <c r="HC7" s="6"/>
      <c r="HD7" s="6"/>
      <c r="HE7" s="6"/>
      <c r="HF7" s="6"/>
      <c r="HG7" s="6"/>
      <c r="HH7" s="6"/>
      <c r="HI7" s="6"/>
      <c r="HJ7" s="6"/>
      <c r="HK7" s="6"/>
      <c r="HL7" s="6"/>
      <c r="HM7" s="6"/>
      <c r="HN7" s="6"/>
      <c r="HO7" s="6"/>
      <c r="HP7" s="6"/>
      <c r="HQ7" s="6"/>
      <c r="HR7" s="6"/>
      <c r="HS7" s="6"/>
      <c r="HT7" s="6"/>
      <c r="HU7" s="6"/>
      <c r="HV7" s="6"/>
      <c r="HW7" s="6"/>
      <c r="HX7" s="6"/>
      <c r="HY7" s="6"/>
      <c r="HZ7" s="6"/>
      <c r="IA7" s="6"/>
      <c r="IB7" s="6"/>
      <c r="IC7" s="6"/>
      <c r="ID7" s="6"/>
      <c r="IE7" s="6"/>
      <c r="IF7" s="6"/>
      <c r="IG7" s="6"/>
      <c r="IH7" s="6"/>
      <c r="II7" s="6"/>
      <c r="IJ7" s="6"/>
      <c r="IK7" s="6"/>
      <c r="IL7" s="6"/>
      <c r="IM7" s="6"/>
      <c r="IN7" s="6"/>
      <c r="IO7" s="6"/>
      <c r="IP7" s="6"/>
      <c r="IQ7" s="6"/>
    </row>
    <row r="8" spans="1:260" s="5" customFormat="1" ht="35.1" customHeight="1" thickBot="1" x14ac:dyDescent="0.35">
      <c r="B8" s="77" t="s">
        <v>109</v>
      </c>
      <c r="C8" s="70"/>
      <c r="D8" s="70"/>
      <c r="E8" s="70"/>
      <c r="F8" s="70"/>
      <c r="G8" s="70"/>
      <c r="H8" s="70"/>
      <c r="I8" s="70"/>
      <c r="J8" s="70"/>
      <c r="K8" s="70"/>
      <c r="L8" s="70"/>
      <c r="M8" s="71"/>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c r="EF8" s="6"/>
      <c r="EG8" s="6"/>
      <c r="EH8" s="6"/>
      <c r="EI8" s="6"/>
      <c r="EJ8" s="6"/>
      <c r="EK8" s="6"/>
      <c r="EL8" s="6"/>
      <c r="EM8" s="6"/>
      <c r="EN8" s="6"/>
      <c r="EO8" s="6"/>
      <c r="EP8" s="6"/>
      <c r="EQ8" s="6"/>
      <c r="ER8" s="6"/>
      <c r="ES8" s="6"/>
      <c r="ET8" s="6"/>
      <c r="EU8" s="6"/>
      <c r="EV8" s="6"/>
      <c r="EW8" s="6"/>
      <c r="EX8" s="6"/>
      <c r="EY8" s="6"/>
      <c r="EZ8" s="6"/>
      <c r="FA8" s="6"/>
      <c r="FB8" s="6"/>
      <c r="FC8" s="6"/>
      <c r="FD8" s="6"/>
      <c r="FE8" s="6"/>
      <c r="FF8" s="6"/>
      <c r="FG8" s="6"/>
      <c r="FH8" s="6"/>
      <c r="FI8" s="6"/>
      <c r="FJ8" s="6"/>
      <c r="FK8" s="6"/>
      <c r="FL8" s="6"/>
      <c r="FM8" s="6"/>
      <c r="FN8" s="6"/>
      <c r="FO8" s="6"/>
      <c r="FP8" s="6"/>
      <c r="FQ8" s="6"/>
      <c r="FR8" s="6"/>
      <c r="FS8" s="6"/>
      <c r="FT8" s="6"/>
      <c r="FU8" s="6"/>
      <c r="FV8" s="6"/>
      <c r="FW8" s="6"/>
      <c r="FX8" s="6"/>
      <c r="FY8" s="6"/>
      <c r="FZ8" s="6"/>
      <c r="GA8" s="6"/>
      <c r="GB8" s="6"/>
      <c r="GC8" s="6"/>
      <c r="GD8" s="6"/>
      <c r="GE8" s="6"/>
      <c r="GF8" s="6"/>
      <c r="GG8" s="6"/>
      <c r="GH8" s="6"/>
      <c r="GI8" s="6"/>
      <c r="GJ8" s="6"/>
      <c r="GK8" s="6"/>
      <c r="GL8" s="6"/>
      <c r="GM8" s="6"/>
      <c r="GN8" s="6"/>
      <c r="GO8" s="6"/>
      <c r="GP8" s="6"/>
      <c r="GQ8" s="6"/>
      <c r="GR8" s="6"/>
      <c r="GS8" s="6"/>
      <c r="GT8" s="6"/>
      <c r="GU8" s="6"/>
      <c r="GV8" s="6"/>
      <c r="GW8" s="6"/>
      <c r="GX8" s="6"/>
      <c r="GY8" s="6"/>
      <c r="GZ8" s="6"/>
      <c r="HA8" s="6"/>
      <c r="HB8" s="6"/>
      <c r="HC8" s="6"/>
      <c r="HD8" s="6"/>
      <c r="HE8" s="6"/>
      <c r="HF8" s="6"/>
      <c r="HG8" s="6"/>
      <c r="HH8" s="6"/>
      <c r="HI8" s="6"/>
      <c r="HJ8" s="6"/>
      <c r="HK8" s="6"/>
      <c r="HL8" s="6"/>
      <c r="HM8" s="6"/>
      <c r="HN8" s="6"/>
      <c r="HO8" s="6"/>
      <c r="HP8" s="6"/>
      <c r="HQ8" s="6"/>
      <c r="HR8" s="6"/>
      <c r="HS8" s="6"/>
      <c r="HT8" s="6"/>
      <c r="HU8" s="6"/>
      <c r="HV8" s="6"/>
      <c r="HW8" s="6"/>
      <c r="HX8" s="6"/>
      <c r="HY8" s="6"/>
      <c r="HZ8" s="6"/>
      <c r="IA8" s="6"/>
      <c r="IB8" s="6"/>
      <c r="IC8" s="6"/>
      <c r="ID8" s="6"/>
      <c r="IE8" s="6"/>
      <c r="IF8" s="6"/>
      <c r="IG8" s="6"/>
      <c r="IH8" s="6"/>
      <c r="II8" s="6"/>
      <c r="IJ8" s="6"/>
      <c r="IK8" s="6"/>
      <c r="IL8" s="6"/>
      <c r="IM8" s="6"/>
      <c r="IN8" s="6"/>
      <c r="IO8" s="6"/>
      <c r="IP8" s="6"/>
      <c r="IQ8" s="6"/>
    </row>
    <row r="9" spans="1:260" s="7" customFormat="1" ht="11.1" customHeight="1" thickBot="1" x14ac:dyDescent="0.35"/>
    <row r="10" spans="1:260" ht="35.1" customHeight="1" thickTop="1" thickBot="1" x14ac:dyDescent="0.35">
      <c r="B10" s="21" t="s">
        <v>10</v>
      </c>
      <c r="C10" s="22"/>
      <c r="D10" s="22"/>
      <c r="E10" s="22"/>
      <c r="F10" s="22"/>
      <c r="G10" s="23"/>
      <c r="H10" s="23"/>
      <c r="I10" s="23"/>
      <c r="J10" s="23"/>
      <c r="K10" s="23"/>
      <c r="L10" s="23"/>
      <c r="M10" s="23"/>
      <c r="N10" s="54" t="s">
        <v>11</v>
      </c>
      <c r="O10" s="55"/>
      <c r="P10" s="55"/>
      <c r="Q10" s="56"/>
      <c r="R10" s="57" t="s">
        <v>12</v>
      </c>
      <c r="S10" s="58"/>
      <c r="T10" s="58"/>
      <c r="U10" s="58"/>
      <c r="V10" s="58"/>
      <c r="W10" s="59"/>
    </row>
    <row r="11" spans="1:260" ht="44.1" customHeight="1" x14ac:dyDescent="0.3">
      <c r="B11" s="24" t="s">
        <v>13</v>
      </c>
      <c r="C11" s="25" t="s">
        <v>14</v>
      </c>
      <c r="D11" s="25" t="s">
        <v>122</v>
      </c>
      <c r="E11" s="25" t="s">
        <v>15</v>
      </c>
      <c r="F11" s="25" t="s">
        <v>16</v>
      </c>
      <c r="G11" s="25" t="s">
        <v>17</v>
      </c>
      <c r="H11" s="60" t="s">
        <v>18</v>
      </c>
      <c r="I11" s="25" t="s">
        <v>19</v>
      </c>
      <c r="J11" s="60" t="s">
        <v>20</v>
      </c>
      <c r="K11" s="62" t="s">
        <v>21</v>
      </c>
      <c r="L11" s="63"/>
      <c r="M11" s="60" t="s">
        <v>22</v>
      </c>
      <c r="N11" s="27" t="s">
        <v>23</v>
      </c>
      <c r="O11" s="25" t="s">
        <v>24</v>
      </c>
      <c r="P11" s="25" t="s">
        <v>25</v>
      </c>
      <c r="Q11" s="28" t="s">
        <v>26</v>
      </c>
      <c r="R11" s="29" t="s">
        <v>27</v>
      </c>
      <c r="S11" s="30" t="s">
        <v>8</v>
      </c>
      <c r="T11" s="60" t="s">
        <v>18</v>
      </c>
      <c r="U11" s="60" t="s">
        <v>20</v>
      </c>
      <c r="V11" s="60" t="s">
        <v>22</v>
      </c>
      <c r="W11" s="30" t="s">
        <v>23</v>
      </c>
    </row>
    <row r="12" spans="1:260" ht="60" customHeight="1" x14ac:dyDescent="0.3">
      <c r="B12" s="12" t="s">
        <v>28</v>
      </c>
      <c r="C12" s="17" t="s">
        <v>29</v>
      </c>
      <c r="D12" s="17" t="s">
        <v>123</v>
      </c>
      <c r="E12" s="17" t="s">
        <v>30</v>
      </c>
      <c r="F12" s="17" t="s">
        <v>31</v>
      </c>
      <c r="G12" s="17" t="s">
        <v>32</v>
      </c>
      <c r="H12" s="61"/>
      <c r="I12" s="17" t="s">
        <v>33</v>
      </c>
      <c r="J12" s="61"/>
      <c r="K12" s="26" t="s">
        <v>34</v>
      </c>
      <c r="L12" s="26" t="s">
        <v>22</v>
      </c>
      <c r="M12" s="61"/>
      <c r="N12" s="17" t="s">
        <v>35</v>
      </c>
      <c r="O12" s="17" t="s">
        <v>36</v>
      </c>
      <c r="P12" s="17" t="s">
        <v>37</v>
      </c>
      <c r="Q12" s="18" t="s">
        <v>38</v>
      </c>
      <c r="R12" s="19" t="s">
        <v>39</v>
      </c>
      <c r="S12" s="10" t="s">
        <v>40</v>
      </c>
      <c r="T12" s="61"/>
      <c r="U12" s="61"/>
      <c r="V12" s="61"/>
      <c r="W12" s="20" t="s">
        <v>35</v>
      </c>
    </row>
    <row r="13" spans="1:260" ht="84" customHeight="1" x14ac:dyDescent="0.3">
      <c r="B13" s="11">
        <v>1</v>
      </c>
      <c r="C13" s="14" t="s">
        <v>110</v>
      </c>
      <c r="D13" s="14" t="s">
        <v>112</v>
      </c>
      <c r="E13" s="14" t="s">
        <v>124</v>
      </c>
      <c r="F13" s="14" t="s">
        <v>125</v>
      </c>
      <c r="G13" s="14" t="s">
        <v>126</v>
      </c>
      <c r="H13" s="31">
        <v>9</v>
      </c>
      <c r="I13" s="14" t="s">
        <v>127</v>
      </c>
      <c r="J13" s="31">
        <v>4</v>
      </c>
      <c r="K13" s="14" t="s">
        <v>158</v>
      </c>
      <c r="L13" s="14" t="s">
        <v>128</v>
      </c>
      <c r="M13" s="31">
        <v>7</v>
      </c>
      <c r="N13" s="32">
        <f t="shared" ref="N13:N25" si="0">H13*J13*M13</f>
        <v>252</v>
      </c>
      <c r="O13" s="14" t="s">
        <v>159</v>
      </c>
      <c r="P13" s="14" t="s">
        <v>130</v>
      </c>
      <c r="Q13" s="13" t="s">
        <v>135</v>
      </c>
      <c r="R13" s="15"/>
      <c r="S13" s="16"/>
      <c r="T13" s="31"/>
      <c r="U13" s="31"/>
      <c r="V13" s="31"/>
      <c r="W13" s="33">
        <f t="shared" ref="W13:W25" si="1">T13*U13*V13</f>
        <v>0</v>
      </c>
    </row>
    <row r="14" spans="1:260" ht="85.5" customHeight="1" x14ac:dyDescent="0.3">
      <c r="B14" s="11">
        <v>2</v>
      </c>
      <c r="C14" s="14" t="s">
        <v>111</v>
      </c>
      <c r="D14" s="14" t="s">
        <v>113</v>
      </c>
      <c r="E14" s="14" t="s">
        <v>132</v>
      </c>
      <c r="F14" s="14" t="s">
        <v>41</v>
      </c>
      <c r="G14" s="14" t="s">
        <v>42</v>
      </c>
      <c r="H14" s="31">
        <v>5</v>
      </c>
      <c r="I14" s="14" t="s">
        <v>43</v>
      </c>
      <c r="J14" s="31">
        <v>5</v>
      </c>
      <c r="K14" s="14" t="s">
        <v>44</v>
      </c>
      <c r="L14" s="14" t="s">
        <v>133</v>
      </c>
      <c r="M14" s="31">
        <v>4</v>
      </c>
      <c r="N14" s="32">
        <f t="shared" si="0"/>
        <v>100</v>
      </c>
      <c r="O14" s="14" t="s">
        <v>134</v>
      </c>
      <c r="P14" s="14" t="s">
        <v>130</v>
      </c>
      <c r="Q14" s="13" t="s">
        <v>129</v>
      </c>
      <c r="R14" s="15"/>
      <c r="S14" s="16"/>
      <c r="T14" s="31"/>
      <c r="U14" s="31"/>
      <c r="V14" s="31"/>
      <c r="W14" s="33">
        <f t="shared" si="1"/>
        <v>0</v>
      </c>
    </row>
    <row r="15" spans="1:260" s="1" customFormat="1" ht="75.75" customHeight="1" x14ac:dyDescent="0.3">
      <c r="B15" s="11">
        <v>3</v>
      </c>
      <c r="C15" s="14" t="s">
        <v>131</v>
      </c>
      <c r="D15" s="14" t="s">
        <v>114</v>
      </c>
      <c r="E15" s="14" t="s">
        <v>136</v>
      </c>
      <c r="F15" s="14" t="s">
        <v>45</v>
      </c>
      <c r="G15" s="14" t="s">
        <v>46</v>
      </c>
      <c r="H15" s="31">
        <v>7</v>
      </c>
      <c r="I15" s="14" t="s">
        <v>137</v>
      </c>
      <c r="J15" s="31">
        <v>5</v>
      </c>
      <c r="K15" s="14" t="s">
        <v>138</v>
      </c>
      <c r="L15" s="14" t="s">
        <v>47</v>
      </c>
      <c r="M15" s="31">
        <v>5</v>
      </c>
      <c r="N15" s="32">
        <f t="shared" si="0"/>
        <v>175</v>
      </c>
      <c r="O15" s="14" t="s">
        <v>139</v>
      </c>
      <c r="P15" s="14" t="s">
        <v>140</v>
      </c>
      <c r="Q15" s="13" t="s">
        <v>141</v>
      </c>
      <c r="R15" s="15"/>
      <c r="S15" s="16"/>
      <c r="T15" s="31"/>
      <c r="U15" s="31"/>
      <c r="V15" s="31"/>
      <c r="W15" s="33">
        <f t="shared" si="1"/>
        <v>0</v>
      </c>
    </row>
    <row r="16" spans="1:260" ht="80.25" customHeight="1" x14ac:dyDescent="0.3">
      <c r="B16" s="11">
        <v>4</v>
      </c>
      <c r="C16" s="14" t="s">
        <v>142</v>
      </c>
      <c r="D16" s="14" t="s">
        <v>115</v>
      </c>
      <c r="E16" s="14" t="s">
        <v>143</v>
      </c>
      <c r="F16" s="14" t="s">
        <v>48</v>
      </c>
      <c r="G16" s="14" t="s">
        <v>49</v>
      </c>
      <c r="H16" s="31">
        <v>7</v>
      </c>
      <c r="I16" s="14" t="s">
        <v>50</v>
      </c>
      <c r="J16" s="31">
        <v>4</v>
      </c>
      <c r="K16" s="14" t="s">
        <v>51</v>
      </c>
      <c r="L16" s="14" t="s">
        <v>52</v>
      </c>
      <c r="M16" s="31">
        <v>5</v>
      </c>
      <c r="N16" s="32">
        <f t="shared" si="0"/>
        <v>140</v>
      </c>
      <c r="O16" s="14" t="s">
        <v>144</v>
      </c>
      <c r="P16" s="14" t="s">
        <v>140</v>
      </c>
      <c r="Q16" s="13" t="s">
        <v>145</v>
      </c>
      <c r="R16" s="15"/>
      <c r="S16" s="16"/>
      <c r="T16" s="31"/>
      <c r="U16" s="31"/>
      <c r="V16" s="31"/>
      <c r="W16" s="33">
        <f t="shared" si="1"/>
        <v>0</v>
      </c>
    </row>
    <row r="17" spans="2:23" ht="126.75" customHeight="1" x14ac:dyDescent="0.3">
      <c r="B17" s="11">
        <v>5</v>
      </c>
      <c r="C17" s="14" t="s">
        <v>146</v>
      </c>
      <c r="D17" s="14" t="s">
        <v>116</v>
      </c>
      <c r="E17" s="14" t="s">
        <v>147</v>
      </c>
      <c r="F17" s="14" t="s">
        <v>53</v>
      </c>
      <c r="G17" s="14" t="s">
        <v>54</v>
      </c>
      <c r="H17" s="31">
        <v>6</v>
      </c>
      <c r="I17" s="14" t="s">
        <v>55</v>
      </c>
      <c r="J17" s="31">
        <v>4</v>
      </c>
      <c r="K17" s="14" t="s">
        <v>148</v>
      </c>
      <c r="L17" s="14" t="s">
        <v>56</v>
      </c>
      <c r="M17" s="31">
        <v>3</v>
      </c>
      <c r="N17" s="32">
        <f t="shared" si="0"/>
        <v>72</v>
      </c>
      <c r="O17" s="14" t="s">
        <v>163</v>
      </c>
      <c r="P17" s="14" t="s">
        <v>149</v>
      </c>
      <c r="Q17" s="13" t="s">
        <v>150</v>
      </c>
      <c r="R17" s="15"/>
      <c r="S17" s="16"/>
      <c r="T17" s="31"/>
      <c r="U17" s="31"/>
      <c r="V17" s="31"/>
      <c r="W17" s="33">
        <f t="shared" si="1"/>
        <v>0</v>
      </c>
    </row>
    <row r="18" spans="2:23" ht="148.5" customHeight="1" x14ac:dyDescent="0.3">
      <c r="B18" s="11">
        <v>6</v>
      </c>
      <c r="C18" s="14" t="s">
        <v>155</v>
      </c>
      <c r="D18" s="14" t="s">
        <v>117</v>
      </c>
      <c r="E18" s="14" t="s">
        <v>160</v>
      </c>
      <c r="F18" s="14" t="s">
        <v>57</v>
      </c>
      <c r="G18" s="14" t="s">
        <v>58</v>
      </c>
      <c r="H18" s="31">
        <v>6</v>
      </c>
      <c r="I18" s="14" t="s">
        <v>59</v>
      </c>
      <c r="J18" s="31">
        <v>3</v>
      </c>
      <c r="K18" s="14" t="s">
        <v>60</v>
      </c>
      <c r="L18" s="14" t="s">
        <v>61</v>
      </c>
      <c r="M18" s="31">
        <v>4</v>
      </c>
      <c r="N18" s="32">
        <f t="shared" si="0"/>
        <v>72</v>
      </c>
      <c r="O18" s="14" t="s">
        <v>161</v>
      </c>
      <c r="P18" s="14" t="s">
        <v>149</v>
      </c>
      <c r="Q18" s="13" t="s">
        <v>129</v>
      </c>
      <c r="R18" s="15"/>
      <c r="S18" s="16"/>
      <c r="T18" s="31"/>
      <c r="U18" s="31"/>
      <c r="V18" s="31"/>
      <c r="W18" s="33">
        <f t="shared" si="1"/>
        <v>0</v>
      </c>
    </row>
    <row r="19" spans="2:23" ht="140.25" customHeight="1" x14ac:dyDescent="0.3">
      <c r="B19" s="11">
        <v>7</v>
      </c>
      <c r="C19" s="14" t="s">
        <v>156</v>
      </c>
      <c r="D19" s="14" t="s">
        <v>118</v>
      </c>
      <c r="E19" s="14" t="s">
        <v>164</v>
      </c>
      <c r="F19" s="14" t="s">
        <v>62</v>
      </c>
      <c r="G19" s="14" t="s">
        <v>63</v>
      </c>
      <c r="H19" s="31">
        <v>8</v>
      </c>
      <c r="I19" s="14" t="s">
        <v>64</v>
      </c>
      <c r="J19" s="31">
        <v>3</v>
      </c>
      <c r="K19" s="14" t="s">
        <v>65</v>
      </c>
      <c r="L19" s="14" t="s">
        <v>66</v>
      </c>
      <c r="M19" s="31">
        <v>6</v>
      </c>
      <c r="N19" s="32">
        <f t="shared" si="0"/>
        <v>144</v>
      </c>
      <c r="O19" s="14" t="s">
        <v>162</v>
      </c>
      <c r="P19" s="14" t="s">
        <v>130</v>
      </c>
      <c r="Q19" s="13" t="s">
        <v>150</v>
      </c>
      <c r="R19" s="15"/>
      <c r="S19" s="16"/>
      <c r="T19" s="31"/>
      <c r="U19" s="31"/>
      <c r="V19" s="31"/>
      <c r="W19" s="33">
        <f t="shared" si="1"/>
        <v>0</v>
      </c>
    </row>
    <row r="20" spans="2:23" ht="77.25" customHeight="1" x14ac:dyDescent="0.3">
      <c r="B20" s="11">
        <v>8</v>
      </c>
      <c r="C20" s="14" t="s">
        <v>151</v>
      </c>
      <c r="D20" s="14" t="s">
        <v>67</v>
      </c>
      <c r="E20" s="14" t="s">
        <v>165</v>
      </c>
      <c r="F20" s="14" t="s">
        <v>68</v>
      </c>
      <c r="G20" s="14" t="s">
        <v>69</v>
      </c>
      <c r="H20" s="31">
        <v>9</v>
      </c>
      <c r="I20" s="14" t="s">
        <v>70</v>
      </c>
      <c r="J20" s="31">
        <v>3</v>
      </c>
      <c r="K20" s="14" t="s">
        <v>71</v>
      </c>
      <c r="L20" s="14" t="s">
        <v>72</v>
      </c>
      <c r="M20" s="31">
        <v>6</v>
      </c>
      <c r="N20" s="32">
        <f t="shared" si="0"/>
        <v>162</v>
      </c>
      <c r="O20" s="14" t="s">
        <v>174</v>
      </c>
      <c r="P20" s="14" t="s">
        <v>140</v>
      </c>
      <c r="Q20" s="80" t="s">
        <v>170</v>
      </c>
      <c r="R20" s="15"/>
      <c r="S20" s="16"/>
      <c r="T20" s="31"/>
      <c r="U20" s="31"/>
      <c r="V20" s="31"/>
      <c r="W20" s="33">
        <f t="shared" si="1"/>
        <v>0</v>
      </c>
    </row>
    <row r="21" spans="2:23" ht="102.75" customHeight="1" x14ac:dyDescent="0.3">
      <c r="B21" s="11">
        <v>9</v>
      </c>
      <c r="C21" s="14" t="s">
        <v>152</v>
      </c>
      <c r="D21" s="14" t="s">
        <v>119</v>
      </c>
      <c r="E21" s="14" t="s">
        <v>166</v>
      </c>
      <c r="F21" s="14" t="s">
        <v>73</v>
      </c>
      <c r="G21" s="14" t="s">
        <v>74</v>
      </c>
      <c r="H21" s="31">
        <v>8</v>
      </c>
      <c r="I21" s="14" t="s">
        <v>75</v>
      </c>
      <c r="J21" s="31">
        <v>3</v>
      </c>
      <c r="K21" s="14" t="s">
        <v>76</v>
      </c>
      <c r="L21" s="14" t="s">
        <v>77</v>
      </c>
      <c r="M21" s="31">
        <v>5</v>
      </c>
      <c r="N21" s="32">
        <f t="shared" si="0"/>
        <v>120</v>
      </c>
      <c r="O21" s="14" t="s">
        <v>173</v>
      </c>
      <c r="P21" s="14" t="s">
        <v>149</v>
      </c>
      <c r="Q21" s="13" t="s">
        <v>169</v>
      </c>
      <c r="R21" s="15"/>
      <c r="S21" s="16"/>
      <c r="T21" s="31"/>
      <c r="U21" s="31"/>
      <c r="V21" s="31"/>
      <c r="W21" s="33">
        <f t="shared" si="1"/>
        <v>0</v>
      </c>
    </row>
    <row r="22" spans="2:23" ht="115.5" customHeight="1" x14ac:dyDescent="0.3">
      <c r="B22" s="11">
        <v>10</v>
      </c>
      <c r="C22" s="14" t="s">
        <v>153</v>
      </c>
      <c r="D22" s="14" t="s">
        <v>120</v>
      </c>
      <c r="E22" s="14" t="s">
        <v>167</v>
      </c>
      <c r="F22" s="14" t="s">
        <v>78</v>
      </c>
      <c r="G22" s="14" t="s">
        <v>79</v>
      </c>
      <c r="H22" s="31">
        <v>8</v>
      </c>
      <c r="I22" s="14" t="s">
        <v>80</v>
      </c>
      <c r="J22" s="31">
        <v>2</v>
      </c>
      <c r="K22" s="14" t="s">
        <v>81</v>
      </c>
      <c r="L22" s="14" t="s">
        <v>82</v>
      </c>
      <c r="M22" s="31">
        <v>4</v>
      </c>
      <c r="N22" s="32">
        <f t="shared" si="0"/>
        <v>64</v>
      </c>
      <c r="O22" s="14" t="s">
        <v>172</v>
      </c>
      <c r="P22" s="14" t="s">
        <v>149</v>
      </c>
      <c r="Q22" s="13" t="s">
        <v>150</v>
      </c>
      <c r="R22" s="15"/>
      <c r="S22" s="16"/>
      <c r="T22" s="31"/>
      <c r="U22" s="31"/>
      <c r="V22" s="31"/>
      <c r="W22" s="33">
        <f t="shared" si="1"/>
        <v>0</v>
      </c>
    </row>
    <row r="23" spans="2:23" ht="126" customHeight="1" x14ac:dyDescent="0.3">
      <c r="B23" s="11">
        <v>11</v>
      </c>
      <c r="C23" s="14" t="s">
        <v>154</v>
      </c>
      <c r="D23" s="14" t="s">
        <v>83</v>
      </c>
      <c r="E23" s="14" t="s">
        <v>168</v>
      </c>
      <c r="F23" s="14" t="s">
        <v>84</v>
      </c>
      <c r="G23" s="14" t="s">
        <v>85</v>
      </c>
      <c r="H23" s="31">
        <v>7</v>
      </c>
      <c r="I23" s="14" t="s">
        <v>86</v>
      </c>
      <c r="J23" s="31">
        <v>4</v>
      </c>
      <c r="K23" s="14" t="s">
        <v>87</v>
      </c>
      <c r="L23" s="14" t="s">
        <v>88</v>
      </c>
      <c r="M23" s="31">
        <v>5</v>
      </c>
      <c r="N23" s="32">
        <f t="shared" si="0"/>
        <v>140</v>
      </c>
      <c r="O23" s="14" t="s">
        <v>171</v>
      </c>
      <c r="P23" s="14" t="s">
        <v>140</v>
      </c>
      <c r="Q23" s="13" t="s">
        <v>169</v>
      </c>
      <c r="R23" s="15"/>
      <c r="S23" s="16"/>
      <c r="T23" s="31"/>
      <c r="U23" s="31"/>
      <c r="V23" s="31"/>
      <c r="W23" s="33">
        <f t="shared" si="1"/>
        <v>0</v>
      </c>
    </row>
    <row r="24" spans="2:23" ht="50.1" customHeight="1" x14ac:dyDescent="0.3">
      <c r="B24" s="11">
        <v>13</v>
      </c>
      <c r="C24" s="14"/>
      <c r="D24" s="14"/>
      <c r="E24" s="14"/>
      <c r="F24" s="14"/>
      <c r="G24" s="14"/>
      <c r="H24" s="31"/>
      <c r="I24" s="14"/>
      <c r="J24" s="31"/>
      <c r="K24" s="14"/>
      <c r="L24" s="14"/>
      <c r="M24" s="31"/>
      <c r="N24" s="32">
        <f t="shared" si="0"/>
        <v>0</v>
      </c>
      <c r="O24" s="14"/>
      <c r="P24" s="14"/>
      <c r="Q24" s="13"/>
      <c r="R24" s="15"/>
      <c r="S24" s="16"/>
      <c r="T24" s="31"/>
      <c r="U24" s="31"/>
      <c r="V24" s="31"/>
      <c r="W24" s="33">
        <f t="shared" si="1"/>
        <v>0</v>
      </c>
    </row>
    <row r="25" spans="2:23" ht="50.1" customHeight="1" x14ac:dyDescent="0.3">
      <c r="B25" s="11">
        <v>14</v>
      </c>
      <c r="C25" s="14"/>
      <c r="D25" s="14"/>
      <c r="E25" s="14"/>
      <c r="F25" s="14"/>
      <c r="G25" s="14"/>
      <c r="H25" s="31"/>
      <c r="I25" s="14"/>
      <c r="J25" s="31"/>
      <c r="K25" s="14"/>
      <c r="L25" s="14"/>
      <c r="M25" s="31"/>
      <c r="N25" s="32">
        <f t="shared" si="0"/>
        <v>0</v>
      </c>
      <c r="O25" s="14"/>
      <c r="P25" s="14"/>
      <c r="Q25" s="13"/>
      <c r="R25" s="15"/>
      <c r="S25" s="16"/>
      <c r="T25" s="31"/>
      <c r="U25" s="31"/>
      <c r="V25" s="31"/>
      <c r="W25" s="33">
        <f t="shared" si="1"/>
        <v>0</v>
      </c>
    </row>
    <row r="26" spans="2:23" ht="93" customHeight="1" x14ac:dyDescent="0.3">
      <c r="D26" s="79" t="s">
        <v>121</v>
      </c>
    </row>
    <row r="27" spans="2:23" ht="50.1" customHeight="1" x14ac:dyDescent="0.3"/>
  </sheetData>
  <mergeCells count="27">
    <mergeCell ref="B7:M7"/>
    <mergeCell ref="B8:M8"/>
    <mergeCell ref="B5:G5"/>
    <mergeCell ref="H5:I5"/>
    <mergeCell ref="J5:K5"/>
    <mergeCell ref="L5:M5"/>
    <mergeCell ref="B6:G6"/>
    <mergeCell ref="H6:I6"/>
    <mergeCell ref="J6:K6"/>
    <mergeCell ref="L6:M6"/>
    <mergeCell ref="B3:G3"/>
    <mergeCell ref="H3:I3"/>
    <mergeCell ref="J3:K3"/>
    <mergeCell ref="L3:M3"/>
    <mergeCell ref="B4:G4"/>
    <mergeCell ref="H4:I4"/>
    <mergeCell ref="J4:K4"/>
    <mergeCell ref="L4:M4"/>
    <mergeCell ref="N10:Q10"/>
    <mergeCell ref="R10:W10"/>
    <mergeCell ref="H11:H12"/>
    <mergeCell ref="J11:J12"/>
    <mergeCell ref="M11:M12"/>
    <mergeCell ref="K11:L11"/>
    <mergeCell ref="V11:V12"/>
    <mergeCell ref="T11:T12"/>
    <mergeCell ref="U11:U12"/>
  </mergeCells>
  <conditionalFormatting sqref="H13:H25 J13:J25 M13:M25 T13:V25">
    <cfRule type="colorScale" priority="19">
      <colorScale>
        <cfvo type="num" val="1"/>
        <cfvo type="num" val="5"/>
        <cfvo type="num" val="10"/>
        <color theme="6" tint="0.59999389629810485"/>
        <color rgb="FFFFE584"/>
        <color rgb="FFFF4902"/>
      </colorScale>
    </cfRule>
  </conditionalFormatting>
  <conditionalFormatting sqref="N13:N25 W13:W25">
    <cfRule type="colorScale" priority="2">
      <colorScale>
        <cfvo type="num" val="0"/>
        <cfvo type="num" val="500"/>
        <cfvo type="num" val="1000"/>
        <color rgb="FF88FFF7"/>
        <color rgb="FFFFE584"/>
        <color rgb="FFFF4902"/>
      </colorScale>
    </cfRule>
  </conditionalFormatting>
  <printOptions horizontalCentered="1"/>
  <pageMargins left="0.4" right="0.4" top="0.4" bottom="0.4" header="0" footer="0"/>
  <pageSetup scale="83" fitToWidth="2" fitToHeight="0"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249977111117893"/>
  </sheetPr>
  <dimension ref="A1:AG61"/>
  <sheetViews>
    <sheetView showGridLines="0" workbookViewId="0">
      <selection activeCell="F10" sqref="F10"/>
    </sheetView>
  </sheetViews>
  <sheetFormatPr defaultColWidth="11.5546875" defaultRowHeight="17.25" x14ac:dyDescent="0.3"/>
  <cols>
    <col min="1" max="1" width="2.88671875" style="34" customWidth="1"/>
    <col min="2" max="2" width="10.6640625" style="34" customWidth="1"/>
    <col min="3" max="3" width="2.88671875" style="34" customWidth="1"/>
    <col min="5" max="5" width="2.88671875" style="34" customWidth="1"/>
    <col min="6" max="6" width="11" customWidth="1"/>
    <col min="7" max="7" width="2.88671875" style="34" customWidth="1"/>
    <col min="8" max="8" width="11" customWidth="1"/>
  </cols>
  <sheetData>
    <row r="1" spans="1:33" s="34" customFormat="1" ht="42" customHeight="1" thickBot="1" x14ac:dyDescent="0.35">
      <c r="B1" s="51" t="s">
        <v>89</v>
      </c>
      <c r="C1" s="50"/>
      <c r="D1" s="50"/>
      <c r="E1" s="50"/>
      <c r="F1" s="50"/>
      <c r="G1" s="50"/>
      <c r="H1" s="50"/>
      <c r="I1" s="50"/>
      <c r="J1" s="50"/>
      <c r="K1" s="50"/>
      <c r="S1" s="35"/>
      <c r="T1" s="35"/>
      <c r="U1" s="35"/>
      <c r="V1" s="35"/>
      <c r="W1" s="35"/>
      <c r="X1" s="35"/>
      <c r="Y1" s="35"/>
      <c r="Z1" s="35"/>
      <c r="AA1" s="35"/>
      <c r="AB1" s="35"/>
      <c r="AC1" s="35"/>
      <c r="AD1" s="35"/>
      <c r="AE1" s="35"/>
      <c r="AF1" s="35"/>
      <c r="AG1" s="35"/>
    </row>
    <row r="2" spans="1:33" ht="24.95" customHeight="1" thickTop="1" x14ac:dyDescent="0.3">
      <c r="A2" s="35"/>
      <c r="B2" s="49" t="s">
        <v>90</v>
      </c>
      <c r="C2" s="35"/>
      <c r="D2" s="49" t="s">
        <v>91</v>
      </c>
      <c r="E2" s="35"/>
      <c r="F2" s="49" t="s">
        <v>92</v>
      </c>
      <c r="G2" s="35"/>
      <c r="H2" s="49" t="s">
        <v>93</v>
      </c>
    </row>
    <row r="3" spans="1:33" ht="35.1" customHeight="1" x14ac:dyDescent="0.3">
      <c r="A3" s="35"/>
      <c r="B3" s="48" t="s">
        <v>94</v>
      </c>
      <c r="C3" s="35"/>
      <c r="D3" s="47" t="s">
        <v>95</v>
      </c>
      <c r="E3" s="35"/>
      <c r="F3" s="46" t="s">
        <v>96</v>
      </c>
      <c r="G3" s="35"/>
      <c r="H3" s="52">
        <v>1</v>
      </c>
    </row>
    <row r="4" spans="1:33" ht="35.1" customHeight="1" x14ac:dyDescent="0.3">
      <c r="A4" s="35"/>
      <c r="B4" s="45" t="s">
        <v>97</v>
      </c>
      <c r="C4" s="35"/>
      <c r="D4" s="44" t="s">
        <v>98</v>
      </c>
      <c r="E4" s="35"/>
      <c r="F4" s="42" t="s">
        <v>99</v>
      </c>
      <c r="G4" s="35"/>
      <c r="H4" s="53">
        <v>2</v>
      </c>
    </row>
    <row r="5" spans="1:33" ht="35.1" customHeight="1" x14ac:dyDescent="0.3">
      <c r="A5" s="35"/>
      <c r="C5" s="35"/>
      <c r="D5" s="43" t="s">
        <v>100</v>
      </c>
      <c r="E5" s="35"/>
      <c r="F5" s="42" t="s">
        <v>101</v>
      </c>
      <c r="G5" s="35"/>
      <c r="H5" s="52">
        <v>3</v>
      </c>
    </row>
    <row r="6" spans="1:33" ht="35.1" customHeight="1" x14ac:dyDescent="0.3">
      <c r="A6" s="35"/>
      <c r="C6" s="35"/>
      <c r="D6" s="36"/>
      <c r="E6" s="35"/>
      <c r="F6" s="41" t="s">
        <v>102</v>
      </c>
      <c r="G6" s="35"/>
      <c r="H6" s="53">
        <v>4</v>
      </c>
    </row>
    <row r="7" spans="1:33" ht="35.1" customHeight="1" x14ac:dyDescent="0.3">
      <c r="A7" s="35"/>
      <c r="C7" s="35"/>
      <c r="D7" s="36"/>
      <c r="E7" s="35"/>
      <c r="F7" s="40" t="s">
        <v>103</v>
      </c>
      <c r="G7" s="35"/>
      <c r="H7" s="52">
        <v>5</v>
      </c>
    </row>
    <row r="8" spans="1:33" ht="35.1" customHeight="1" x14ac:dyDescent="0.3">
      <c r="A8" s="35"/>
      <c r="C8" s="35"/>
      <c r="E8" s="35"/>
      <c r="F8" s="39" t="s">
        <v>104</v>
      </c>
      <c r="G8" s="35"/>
      <c r="H8" s="53">
        <v>6</v>
      </c>
    </row>
    <row r="9" spans="1:33" ht="35.1" customHeight="1" x14ac:dyDescent="0.3">
      <c r="A9" s="35"/>
      <c r="B9" s="35"/>
      <c r="C9" s="35"/>
      <c r="E9" s="35"/>
      <c r="F9" s="38" t="s">
        <v>105</v>
      </c>
      <c r="G9" s="35"/>
      <c r="H9" s="52">
        <v>7</v>
      </c>
    </row>
    <row r="10" spans="1:33" ht="35.1" customHeight="1" x14ac:dyDescent="0.3">
      <c r="A10" s="35"/>
      <c r="B10" s="35"/>
      <c r="C10" s="35"/>
      <c r="D10" s="36"/>
      <c r="E10" s="35"/>
      <c r="F10" s="37"/>
      <c r="G10" s="35"/>
      <c r="H10" s="53">
        <v>8</v>
      </c>
    </row>
    <row r="11" spans="1:33" ht="35.1" customHeight="1" x14ac:dyDescent="0.3">
      <c r="A11" s="35"/>
      <c r="B11" s="35"/>
      <c r="C11" s="35"/>
      <c r="D11" s="36"/>
      <c r="E11" s="35"/>
      <c r="F11" s="37"/>
      <c r="G11" s="35"/>
      <c r="H11" s="52">
        <v>9</v>
      </c>
    </row>
    <row r="12" spans="1:33" ht="35.1" customHeight="1" x14ac:dyDescent="0.3">
      <c r="A12" s="35"/>
      <c r="B12" s="35"/>
      <c r="C12" s="35"/>
      <c r="D12" s="36"/>
      <c r="E12" s="35"/>
      <c r="F12" s="36"/>
      <c r="G12" s="35"/>
      <c r="H12" s="53">
        <v>10</v>
      </c>
    </row>
    <row r="13" spans="1:33" x14ac:dyDescent="0.3">
      <c r="A13" s="35"/>
      <c r="B13" s="35"/>
      <c r="C13" s="35"/>
      <c r="D13" s="36"/>
      <c r="E13" s="35"/>
      <c r="F13" s="36"/>
      <c r="G13" s="35"/>
      <c r="H13" s="36"/>
    </row>
    <row r="14" spans="1:33" x14ac:dyDescent="0.3">
      <c r="A14" s="35"/>
      <c r="B14" s="35"/>
      <c r="C14" s="35"/>
      <c r="D14" s="36"/>
      <c r="E14" s="35"/>
      <c r="F14" s="36"/>
      <c r="G14" s="35"/>
      <c r="H14" s="36"/>
    </row>
    <row r="15" spans="1:33" x14ac:dyDescent="0.3">
      <c r="A15" s="35"/>
      <c r="B15" s="35"/>
      <c r="C15" s="35"/>
      <c r="D15" s="36"/>
      <c r="E15" s="35"/>
      <c r="F15" s="36"/>
      <c r="G15" s="35"/>
      <c r="H15" s="36"/>
    </row>
    <row r="16" spans="1:33" x14ac:dyDescent="0.3">
      <c r="A16" s="35"/>
      <c r="B16" s="35"/>
      <c r="C16" s="35"/>
      <c r="D16" s="36"/>
      <c r="E16" s="35"/>
      <c r="F16" s="36"/>
      <c r="G16" s="35"/>
      <c r="H16" s="36"/>
    </row>
    <row r="17" spans="1:7" x14ac:dyDescent="0.3">
      <c r="A17" s="35"/>
      <c r="B17" s="35"/>
      <c r="C17" s="35"/>
      <c r="D17" s="36"/>
      <c r="E17" s="35"/>
      <c r="G17" s="35"/>
    </row>
    <row r="18" spans="1:7" x14ac:dyDescent="0.3">
      <c r="A18" s="35"/>
      <c r="B18" s="35"/>
      <c r="C18" s="35"/>
      <c r="D18" s="36"/>
      <c r="E18" s="35"/>
      <c r="G18" s="35"/>
    </row>
    <row r="19" spans="1:7" x14ac:dyDescent="0.3">
      <c r="A19" s="35"/>
      <c r="B19" s="35"/>
      <c r="C19" s="35"/>
      <c r="D19" s="36"/>
      <c r="E19" s="35"/>
      <c r="G19" s="35"/>
    </row>
    <row r="20" spans="1:7" x14ac:dyDescent="0.3">
      <c r="A20" s="35"/>
      <c r="B20" s="35"/>
      <c r="C20" s="35"/>
      <c r="D20" s="36"/>
      <c r="E20" s="35"/>
      <c r="G20" s="35"/>
    </row>
    <row r="21" spans="1:7" x14ac:dyDescent="0.3">
      <c r="A21" s="35"/>
      <c r="B21" s="35"/>
      <c r="C21" s="35"/>
      <c r="D21" s="36"/>
      <c r="E21" s="35"/>
      <c r="G21" s="35"/>
    </row>
    <row r="22" spans="1:7" x14ac:dyDescent="0.3">
      <c r="A22" s="35"/>
      <c r="B22" s="35"/>
      <c r="C22" s="35"/>
      <c r="D22" s="36"/>
      <c r="E22" s="35"/>
      <c r="G22" s="35"/>
    </row>
    <row r="23" spans="1:7" x14ac:dyDescent="0.3">
      <c r="A23" s="35"/>
      <c r="B23" s="35"/>
      <c r="C23" s="35"/>
      <c r="D23" s="36"/>
      <c r="E23" s="35"/>
      <c r="G23" s="35"/>
    </row>
    <row r="24" spans="1:7" x14ac:dyDescent="0.3">
      <c r="A24" s="35"/>
      <c r="B24" s="35"/>
      <c r="C24" s="35"/>
      <c r="D24" s="36"/>
      <c r="E24" s="35"/>
      <c r="G24" s="35"/>
    </row>
    <row r="25" spans="1:7" x14ac:dyDescent="0.3">
      <c r="A25" s="35"/>
      <c r="B25" s="35"/>
      <c r="C25" s="35"/>
      <c r="D25" s="36"/>
      <c r="E25" s="35"/>
      <c r="G25" s="35"/>
    </row>
    <row r="26" spans="1:7" x14ac:dyDescent="0.3">
      <c r="A26" s="35"/>
      <c r="B26" s="35"/>
      <c r="C26" s="35"/>
      <c r="D26" s="36"/>
      <c r="E26" s="35"/>
      <c r="G26" s="35"/>
    </row>
    <row r="27" spans="1:7" x14ac:dyDescent="0.3">
      <c r="A27" s="35"/>
      <c r="B27" s="35"/>
      <c r="C27" s="35"/>
      <c r="D27" s="36"/>
      <c r="E27" s="35"/>
      <c r="G27" s="35"/>
    </row>
    <row r="28" spans="1:7" x14ac:dyDescent="0.3">
      <c r="A28" s="35"/>
      <c r="B28" s="35"/>
      <c r="C28" s="35"/>
      <c r="D28" s="36"/>
      <c r="E28" s="35"/>
      <c r="G28" s="35"/>
    </row>
    <row r="29" spans="1:7" x14ac:dyDescent="0.3">
      <c r="A29" s="35"/>
      <c r="B29" s="35"/>
      <c r="C29" s="35"/>
      <c r="D29" s="36"/>
      <c r="E29" s="35"/>
      <c r="G29" s="35"/>
    </row>
    <row r="30" spans="1:7" x14ac:dyDescent="0.3">
      <c r="A30" s="35"/>
      <c r="B30" s="35"/>
      <c r="C30" s="35"/>
      <c r="D30" s="36"/>
      <c r="E30" s="35"/>
      <c r="G30" s="35"/>
    </row>
    <row r="31" spans="1:7" x14ac:dyDescent="0.3">
      <c r="A31" s="35"/>
      <c r="B31" s="35"/>
      <c r="C31" s="35"/>
      <c r="D31" s="36"/>
      <c r="E31" s="35"/>
      <c r="G31" s="35"/>
    </row>
    <row r="32" spans="1:7" x14ac:dyDescent="0.3">
      <c r="D32" s="36"/>
    </row>
    <row r="33" spans="1:7" x14ac:dyDescent="0.3">
      <c r="A33" s="35"/>
      <c r="B33" s="35"/>
      <c r="C33" s="35"/>
      <c r="E33" s="35"/>
      <c r="G33" s="35"/>
    </row>
    <row r="34" spans="1:7" x14ac:dyDescent="0.3">
      <c r="A34" s="35"/>
      <c r="B34" s="35"/>
      <c r="C34" s="35"/>
      <c r="E34" s="35"/>
      <c r="G34" s="35"/>
    </row>
    <row r="35" spans="1:7" x14ac:dyDescent="0.3">
      <c r="A35" s="35"/>
      <c r="B35" s="35"/>
      <c r="C35" s="35"/>
      <c r="E35" s="35"/>
      <c r="G35" s="35"/>
    </row>
    <row r="36" spans="1:7" x14ac:dyDescent="0.3">
      <c r="A36" s="35"/>
      <c r="B36" s="35"/>
      <c r="C36" s="35"/>
      <c r="E36" s="35"/>
      <c r="G36" s="35"/>
    </row>
    <row r="37" spans="1:7" x14ac:dyDescent="0.3">
      <c r="A37" s="35"/>
      <c r="B37" s="35"/>
      <c r="C37" s="35"/>
      <c r="E37" s="35"/>
      <c r="G37" s="35"/>
    </row>
    <row r="38" spans="1:7" x14ac:dyDescent="0.3">
      <c r="A38" s="35"/>
      <c r="B38" s="35"/>
      <c r="C38" s="35"/>
      <c r="E38" s="35"/>
      <c r="G38" s="35"/>
    </row>
    <row r="39" spans="1:7" x14ac:dyDescent="0.3">
      <c r="A39" s="35"/>
      <c r="B39" s="35"/>
      <c r="C39" s="35"/>
      <c r="E39" s="35"/>
      <c r="G39" s="35"/>
    </row>
    <row r="40" spans="1:7" x14ac:dyDescent="0.3">
      <c r="A40" s="35"/>
      <c r="B40" s="35"/>
      <c r="C40" s="35"/>
      <c r="E40" s="35"/>
      <c r="G40" s="35"/>
    </row>
    <row r="41" spans="1:7" x14ac:dyDescent="0.3">
      <c r="A41" s="35"/>
      <c r="B41" s="35"/>
      <c r="C41" s="35"/>
      <c r="E41" s="35"/>
      <c r="G41" s="35"/>
    </row>
    <row r="42" spans="1:7" x14ac:dyDescent="0.3">
      <c r="A42" s="35"/>
      <c r="B42" s="35"/>
      <c r="C42" s="35"/>
      <c r="E42" s="35"/>
      <c r="G42" s="35"/>
    </row>
    <row r="43" spans="1:7" x14ac:dyDescent="0.3">
      <c r="A43" s="35"/>
      <c r="B43" s="35"/>
      <c r="C43" s="35"/>
      <c r="E43" s="35"/>
      <c r="G43" s="35"/>
    </row>
    <row r="44" spans="1:7" x14ac:dyDescent="0.3">
      <c r="A44" s="35"/>
      <c r="B44" s="35"/>
      <c r="C44" s="35"/>
      <c r="E44" s="35"/>
      <c r="G44" s="35"/>
    </row>
    <row r="45" spans="1:7" x14ac:dyDescent="0.3">
      <c r="A45" s="35"/>
      <c r="B45" s="35"/>
      <c r="C45" s="35"/>
      <c r="E45" s="35"/>
      <c r="G45" s="35"/>
    </row>
    <row r="46" spans="1:7" x14ac:dyDescent="0.3">
      <c r="A46" s="35"/>
      <c r="B46" s="35"/>
      <c r="C46" s="35"/>
      <c r="E46" s="35"/>
      <c r="G46" s="35"/>
    </row>
    <row r="47" spans="1:7" x14ac:dyDescent="0.3">
      <c r="A47" s="35"/>
      <c r="B47" s="35"/>
      <c r="C47" s="35"/>
      <c r="E47" s="35"/>
      <c r="G47" s="35"/>
    </row>
    <row r="48" spans="1:7" x14ac:dyDescent="0.3">
      <c r="A48" s="35"/>
      <c r="B48" s="35"/>
      <c r="C48" s="35"/>
      <c r="E48" s="35"/>
      <c r="G48" s="35"/>
    </row>
    <row r="49" spans="1:7" x14ac:dyDescent="0.3">
      <c r="A49" s="35"/>
      <c r="B49" s="35"/>
      <c r="C49" s="35"/>
      <c r="E49" s="35"/>
      <c r="G49" s="35"/>
    </row>
    <row r="50" spans="1:7" x14ac:dyDescent="0.3">
      <c r="A50" s="35"/>
      <c r="B50" s="35"/>
      <c r="C50" s="35"/>
      <c r="E50" s="35"/>
      <c r="G50" s="35"/>
    </row>
    <row r="51" spans="1:7" x14ac:dyDescent="0.3">
      <c r="A51" s="35"/>
      <c r="B51" s="35"/>
      <c r="C51" s="35"/>
      <c r="E51" s="35"/>
      <c r="G51" s="35"/>
    </row>
    <row r="52" spans="1:7" x14ac:dyDescent="0.3">
      <c r="A52" s="35"/>
      <c r="B52" s="35"/>
      <c r="C52" s="35"/>
      <c r="E52" s="35"/>
      <c r="G52" s="35"/>
    </row>
    <row r="53" spans="1:7" x14ac:dyDescent="0.3">
      <c r="A53" s="35"/>
      <c r="B53" s="35"/>
      <c r="C53" s="35"/>
      <c r="E53" s="35"/>
      <c r="G53" s="35"/>
    </row>
    <row r="54" spans="1:7" x14ac:dyDescent="0.3">
      <c r="A54" s="35"/>
      <c r="B54" s="35"/>
      <c r="C54" s="35"/>
      <c r="E54" s="35"/>
      <c r="G54" s="35"/>
    </row>
    <row r="55" spans="1:7" x14ac:dyDescent="0.3">
      <c r="A55" s="35"/>
      <c r="B55" s="35"/>
      <c r="C55" s="35"/>
      <c r="E55" s="35"/>
      <c r="G55" s="35"/>
    </row>
    <row r="56" spans="1:7" x14ac:dyDescent="0.3">
      <c r="A56" s="35"/>
      <c r="B56" s="35"/>
      <c r="C56" s="35"/>
      <c r="E56" s="35"/>
      <c r="G56" s="35"/>
    </row>
    <row r="57" spans="1:7" x14ac:dyDescent="0.3">
      <c r="A57" s="35"/>
      <c r="B57" s="35"/>
      <c r="C57" s="35"/>
      <c r="E57" s="35"/>
      <c r="G57" s="35"/>
    </row>
    <row r="58" spans="1:7" x14ac:dyDescent="0.3">
      <c r="A58" s="35"/>
      <c r="B58" s="35"/>
      <c r="C58" s="35"/>
      <c r="E58" s="35"/>
      <c r="G58" s="35"/>
    </row>
    <row r="59" spans="1:7" x14ac:dyDescent="0.3">
      <c r="A59" s="35"/>
      <c r="B59" s="35"/>
      <c r="C59" s="35"/>
      <c r="E59" s="35"/>
      <c r="G59" s="35"/>
    </row>
    <row r="60" spans="1:7" x14ac:dyDescent="0.3">
      <c r="A60" s="35"/>
      <c r="B60" s="35"/>
      <c r="C60" s="35"/>
      <c r="E60" s="35"/>
      <c r="G60" s="35"/>
    </row>
    <row r="61" spans="1:7" x14ac:dyDescent="0.3">
      <c r="A61" s="35"/>
      <c r="B61" s="35"/>
      <c r="C61" s="35"/>
      <c r="E61" s="35"/>
      <c r="G61" s="35"/>
    </row>
  </sheetData>
  <conditionalFormatting sqref="D3:D5">
    <cfRule type="containsText" dxfId="9" priority="10" operator="containsText" text="Low">
      <formula>NOT(ISERROR(SEARCH("Low",D3)))</formula>
    </cfRule>
    <cfRule type="containsText" dxfId="8" priority="11" operator="containsText" text="Medium">
      <formula>NOT(ISERROR(SEARCH("Medium",D3)))</formula>
    </cfRule>
    <cfRule type="containsText" dxfId="7" priority="12" operator="containsText" text="High">
      <formula>NOT(ISERROR(SEARCH("High",D3)))</formula>
    </cfRule>
  </conditionalFormatting>
  <conditionalFormatting sqref="F3:F11">
    <cfRule type="containsText" dxfId="6" priority="9" operator="containsText" text="Approved">
      <formula>NOT(ISERROR(SEARCH("Approved",F3)))</formula>
    </cfRule>
    <cfRule type="containsText" dxfId="5" priority="13" operator="containsText" text="Needs Review">
      <formula>NOT(ISERROR(SEARCH("Needs Review",F3)))</formula>
    </cfRule>
    <cfRule type="containsText" dxfId="4" priority="14" operator="containsText" text="Not Started">
      <formula>NOT(ISERROR(SEARCH("Not Started",F3)))</formula>
    </cfRule>
    <cfRule type="containsText" dxfId="3" priority="15" operator="containsText" text="On Hold">
      <formula>NOT(ISERROR(SEARCH("On Hold",F3)))</formula>
    </cfRule>
    <cfRule type="containsText" dxfId="2" priority="16" operator="containsText" text="Overdue">
      <formula>NOT(ISERROR(SEARCH("Overdue",F3)))</formula>
    </cfRule>
    <cfRule type="containsText" dxfId="1" priority="17" operator="containsText" text="Complete">
      <formula>NOT(ISERROR(SEARCH("Complete",F3)))</formula>
    </cfRule>
    <cfRule type="containsText" dxfId="0" priority="18" operator="containsText" text="In Progress">
      <formula>NOT(ISERROR(SEARCH("In Progress",F3)))</formula>
    </cfRule>
  </conditionalFormatting>
  <conditionalFormatting sqref="H3:H12">
    <cfRule type="colorScale" priority="1">
      <colorScale>
        <cfvo type="min"/>
        <cfvo type="percentile" val="50"/>
        <cfvo type="max"/>
        <color theme="6" tint="0.59999389629810485"/>
        <color rgb="FFFFE584"/>
        <color rgb="FFFF4902"/>
      </colorScale>
    </cfRule>
  </conditionalFormatting>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tint="0.34998626667073579"/>
  </sheetPr>
  <dimension ref="B1:B2"/>
  <sheetViews>
    <sheetView showGridLines="0" workbookViewId="0">
      <selection activeCell="AJ87" sqref="AJ87"/>
    </sheetView>
  </sheetViews>
  <sheetFormatPr defaultColWidth="9.33203125" defaultRowHeight="16.5" x14ac:dyDescent="0.3"/>
  <cols>
    <col min="1" max="1" width="2.88671875" style="8" customWidth="1"/>
    <col min="2" max="2" width="75.6640625" style="8" customWidth="1"/>
    <col min="3" max="3" width="9.33203125" style="8" customWidth="1"/>
    <col min="4" max="16384" width="9.33203125" style="8"/>
  </cols>
  <sheetData>
    <row r="1" spans="2:2" ht="20.100000000000001" customHeight="1" x14ac:dyDescent="0.3"/>
    <row r="2" spans="2:2" ht="111" customHeight="1" x14ac:dyDescent="0.3">
      <c r="B2" s="9" t="s">
        <v>106</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FMEA Template</vt:lpstr>
      <vt:lpstr>Dropdown Keys - Do Not Delete -</vt:lpstr>
      <vt:lpstr>- Disclaimer -</vt:lpstr>
      <vt:lpstr>'FMEA Template'!Print_Area</vt:lpstr>
      <vt:lpstr>'Dropdown Keys - Do Not Delete -'!Status</vt:lpstr>
      <vt:lpstr>YesNo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Ruidi Liu</cp:lastModifiedBy>
  <cp:lastPrinted>2017-05-30T13:04:27Z</cp:lastPrinted>
  <dcterms:created xsi:type="dcterms:W3CDTF">2016-05-18T15:16:18Z</dcterms:created>
  <dcterms:modified xsi:type="dcterms:W3CDTF">2025-12-03T03:25:28Z</dcterms:modified>
</cp:coreProperties>
</file>