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E:\McMaster_University\6thYear_2025-2026\SFWRBME_5P06\SFWRBME-5P06\5P06 Design History File (DHF) Team 9\5P06 Design History File (DHF) Team 9\6-Design Review\"/>
    </mc:Choice>
  </mc:AlternateContent>
  <xr:revisionPtr revIDLastSave="0" documentId="13_ncr:1_{CDD5B0A9-6490-4D9C-B660-236FD0543650}" xr6:coauthVersionLast="47" xr6:coauthVersionMax="47" xr10:uidLastSave="{00000000-0000-0000-0000-000000000000}"/>
  <bookViews>
    <workbookView xWindow="-120" yWindow="-120" windowWidth="29040" windowHeight="15720"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7" i="11" l="1"/>
  <c r="E22" i="11"/>
  <c r="F23" i="11"/>
  <c r="F24" i="11" s="1"/>
  <c r="Q1" i="11"/>
  <c r="H7" i="11" l="1"/>
  <c r="I5" i="11" l="1"/>
  <c r="I4" i="11" s="1"/>
  <c r="H50" i="11"/>
  <c r="H49" i="11"/>
  <c r="H46" i="11"/>
  <c r="H25" i="11"/>
  <c r="H8" i="11"/>
  <c r="I6" i="11" l="1"/>
  <c r="J5" i="11" l="1"/>
  <c r="K5" i="11" s="1"/>
  <c r="L5" i="11" s="1"/>
  <c r="M5" i="11" s="1"/>
  <c r="N5" i="11" s="1"/>
  <c r="O5" i="11" s="1"/>
  <c r="P5" i="11" s="1"/>
  <c r="P4" i="11" l="1"/>
  <c r="Q5" i="11"/>
  <c r="R5" i="11" s="1"/>
  <c r="S5" i="11" s="1"/>
  <c r="T5" i="11" s="1"/>
  <c r="U5" i="11" s="1"/>
  <c r="V5" i="11" s="1"/>
  <c r="W5" i="11" s="1"/>
  <c r="J6" i="11"/>
  <c r="E44" i="11" l="1"/>
  <c r="E45" i="11" s="1"/>
  <c r="W4" i="11"/>
  <c r="X5" i="11"/>
  <c r="Y5" i="11" s="1"/>
  <c r="Z5" i="11" s="1"/>
  <c r="AA5" i="11" s="1"/>
  <c r="AB5" i="11" s="1"/>
  <c r="AC5" i="11" s="1"/>
  <c r="AD5" i="11" s="1"/>
  <c r="K6" i="11"/>
  <c r="E43" i="11" l="1"/>
  <c r="F43" i="11" s="1"/>
  <c r="E30" i="11"/>
  <c r="F30" i="11" s="1"/>
  <c r="E31" i="11"/>
  <c r="E28" i="11"/>
  <c r="F28" i="11" s="1"/>
  <c r="F48" i="11"/>
  <c r="H48" i="11" s="1"/>
  <c r="H47" i="11"/>
  <c r="AE5" i="11"/>
  <c r="AF5" i="11" s="1"/>
  <c r="AG5" i="11" s="1"/>
  <c r="AH5" i="11" s="1"/>
  <c r="AI5" i="11" s="1"/>
  <c r="AJ5" i="11" s="1"/>
  <c r="AD4" i="11"/>
  <c r="L6" i="11"/>
  <c r="E32" i="11" l="1"/>
  <c r="F32" i="11" s="1"/>
  <c r="F31" i="11"/>
  <c r="H28" i="11"/>
  <c r="E33" i="11"/>
  <c r="AK5" i="11"/>
  <c r="AL5" i="11" s="1"/>
  <c r="AM5" i="11" s="1"/>
  <c r="AN5" i="11" s="1"/>
  <c r="AO5" i="11" s="1"/>
  <c r="AP5" i="11" s="1"/>
  <c r="AQ5" i="11" s="1"/>
  <c r="M6" i="11"/>
  <c r="F33" i="11" l="1"/>
  <c r="F35" i="11" s="1"/>
  <c r="E36" i="11" s="1"/>
  <c r="F36" i="11" s="1"/>
  <c r="E37" i="11" s="1"/>
  <c r="F37" i="11" s="1"/>
  <c r="E39" i="11" s="1"/>
  <c r="E40" i="11" s="1"/>
  <c r="H30" i="11"/>
  <c r="AR5" i="11"/>
  <c r="AR4" i="11" s="1"/>
  <c r="AK4" i="11"/>
  <c r="N6" i="11"/>
  <c r="E38" i="11" l="1"/>
  <c r="F38" i="11" s="1"/>
  <c r="F39" i="11"/>
  <c r="F40" i="11" s="1"/>
  <c r="H33" i="11"/>
  <c r="AS5" i="11"/>
  <c r="AS6" i="11" s="1"/>
  <c r="O6" i="11"/>
  <c r="E41" i="11" l="1"/>
  <c r="F41" i="11" s="1"/>
  <c r="AT5" i="11"/>
  <c r="AU5" i="11" s="1"/>
  <c r="E42" i="11" l="1"/>
  <c r="F42" i="11"/>
  <c r="AT6" i="11"/>
  <c r="AV5" i="11"/>
  <c r="AU6" i="11"/>
  <c r="P6" i="11"/>
  <c r="Q6" i="11"/>
  <c r="AW5" i="11" l="1"/>
  <c r="AV6" i="11"/>
  <c r="R6" i="11"/>
  <c r="AX5" i="11" l="1"/>
  <c r="AY5" i="11" s="1"/>
  <c r="AW6" i="11"/>
  <c r="S6" i="11"/>
  <c r="AY4" i="11" l="1"/>
  <c r="AY6" i="11"/>
  <c r="AZ5" i="11"/>
  <c r="AX6" i="11"/>
  <c r="T6" i="11"/>
  <c r="F26" i="11" l="1"/>
  <c r="BA5" i="1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M5" i="11" s="1"/>
  <c r="BK6" i="11"/>
  <c r="AF6" i="11"/>
  <c r="BM4" i="11" l="1"/>
  <c r="BN5" i="11"/>
  <c r="BM6" i="11"/>
  <c r="BL6" i="11"/>
  <c r="AG6" i="11"/>
  <c r="BO5" i="11" l="1"/>
  <c r="BN6" i="11"/>
  <c r="AH6" i="11"/>
  <c r="BP5" i="11" l="1"/>
  <c r="BO6" i="11"/>
  <c r="AI6" i="11"/>
  <c r="BP6" i="11" l="1"/>
  <c r="BQ5" i="11"/>
  <c r="AJ6" i="11"/>
  <c r="BQ6" i="11" l="1"/>
  <c r="BR5" i="11"/>
  <c r="AK6" i="11"/>
  <c r="BR6" i="11" l="1"/>
  <c r="BS5" i="11"/>
  <c r="BS6" i="11" s="1"/>
  <c r="AL6" i="11"/>
  <c r="AM6" i="11" l="1"/>
  <c r="AN6" i="11" l="1"/>
  <c r="AO6" i="11" l="1"/>
  <c r="AP6" i="11" l="1"/>
  <c r="AQ6" i="11" l="1"/>
  <c r="AR6" i="11" l="1"/>
  <c r="H36" i="11" l="1"/>
  <c r="E10" i="11"/>
  <c r="E12" i="11" l="1"/>
  <c r="F12" i="11" s="1"/>
  <c r="E13" i="11" s="1"/>
  <c r="F13" i="11" s="1"/>
  <c r="F10" i="11"/>
  <c r="E11" i="11" s="1"/>
  <c r="F11" i="11" s="1"/>
  <c r="H10" i="11"/>
  <c r="H9" i="11"/>
  <c r="E15" i="11" l="1"/>
  <c r="E14" i="11"/>
  <c r="F14" i="11" s="1"/>
  <c r="F15" i="11" s="1"/>
  <c r="H11" i="11"/>
  <c r="H12" i="11" l="1"/>
  <c r="H14" i="11" l="1"/>
  <c r="E16" i="11"/>
  <c r="F16" i="11" s="1"/>
  <c r="H15" i="11"/>
  <c r="H16" i="11" l="1"/>
  <c r="E17" i="11"/>
  <c r="F17" i="11" l="1"/>
  <c r="F22" i="11"/>
  <c r="E24" i="11" l="1"/>
  <c r="F44" i="11"/>
  <c r="F45" i="11"/>
  <c r="H45" i="11" s="1"/>
</calcChain>
</file>

<file path=xl/sharedStrings.xml><?xml version="1.0" encoding="utf-8"?>
<sst xmlns="http://schemas.openxmlformats.org/spreadsheetml/2006/main" count="106" uniqueCount="74">
  <si>
    <t>Insert new rows ABOVE this one</t>
  </si>
  <si>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</si>
  <si>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</si>
  <si>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</si>
  <si>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</si>
  <si>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</si>
  <si>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</si>
  <si>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</si>
  <si>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</si>
  <si>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</si>
  <si>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</si>
  <si>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</si>
  <si>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</si>
  <si>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</si>
  <si>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</si>
  <si>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</si>
  <si>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</si>
  <si>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</si>
  <si>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</si>
  <si>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</si>
  <si>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Project start:</t>
  </si>
  <si>
    <t>Display week:</t>
  </si>
  <si>
    <t>ASSIGNED TO</t>
  </si>
  <si>
    <t>Selfie Oral Health Assessment</t>
  </si>
  <si>
    <t>Team 9.</t>
  </si>
  <si>
    <t>Jasmine Wang  &amp; Ruidi Liu</t>
  </si>
  <si>
    <t>Github Repo</t>
  </si>
  <si>
    <t>https://github.com/ShadowOfShark/SFWRBME-5P06</t>
  </si>
  <si>
    <t>Summary</t>
  </si>
  <si>
    <t>Formatting</t>
  </si>
  <si>
    <t>References</t>
  </si>
  <si>
    <t>Final Review</t>
  </si>
  <si>
    <t>Proof Of Concept</t>
  </si>
  <si>
    <t>Environmental Setup</t>
  </si>
  <si>
    <t>Model 1 Development</t>
  </si>
  <si>
    <t>Model 2 Development</t>
  </si>
  <si>
    <t>Model 1 Refinement</t>
  </si>
  <si>
    <t>Model 2 Refinemennt</t>
  </si>
  <si>
    <t>Model 2 Testing</t>
  </si>
  <si>
    <t>Model 1 Testing</t>
  </si>
  <si>
    <t xml:space="preserve">Descision Tree </t>
  </si>
  <si>
    <t>Jasmine Wang</t>
  </si>
  <si>
    <t>Both</t>
  </si>
  <si>
    <t xml:space="preserve">Questionnaire </t>
  </si>
  <si>
    <t>Ruidi Liu</t>
  </si>
  <si>
    <t>Discussion</t>
  </si>
  <si>
    <t>Diagnostic Criteria Research</t>
  </si>
  <si>
    <t>Meetings</t>
  </si>
  <si>
    <t>Jasmine</t>
  </si>
  <si>
    <t>Meeting Minutes</t>
  </si>
  <si>
    <t>Instructor Meeting Arrange</t>
  </si>
  <si>
    <t xml:space="preserve">Instructor Meeting </t>
  </si>
  <si>
    <t>3.2 Backend Draft</t>
  </si>
  <si>
    <t>3.1  Frontend Research</t>
  </si>
  <si>
    <t>3.2  Frontend Research</t>
  </si>
  <si>
    <t>3.1 Backend Research</t>
  </si>
  <si>
    <t>3.2 Backend Research</t>
  </si>
  <si>
    <t>Chapter 3</t>
  </si>
  <si>
    <t>3.2 Frontend Draft</t>
  </si>
  <si>
    <t>3.1 Frontend Draft</t>
  </si>
  <si>
    <t xml:space="preserve">3.1 Backend Draft </t>
  </si>
  <si>
    <t>Paper Prototype</t>
  </si>
  <si>
    <t>Interview Survey</t>
  </si>
  <si>
    <t>Interactive Figma model</t>
  </si>
  <si>
    <t>Story Board Design</t>
  </si>
  <si>
    <t>Design Elements Review</t>
  </si>
  <si>
    <t xml:space="preserve">Both </t>
  </si>
  <si>
    <t>3.1 Rewrite</t>
  </si>
  <si>
    <t>3.2 DO1-6 Rewrite</t>
  </si>
  <si>
    <t>Overall Architecture Verification</t>
  </si>
  <si>
    <t>Client Side Architecture Verification</t>
  </si>
  <si>
    <t>4HC3 Notes Review</t>
  </si>
  <si>
    <t>WireFrame Brainstorm</t>
  </si>
  <si>
    <t>1-26-26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</si>
</sst>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_(* \(#,##0.00\);_(* &quot;-&quot;??_);_(@_)"/>
    <numFmt numFmtId="165" formatCode="m/d/yy;@"/>
    <numFmt numFmtId="166" formatCode="ddd\,\ m/d/yyyy"/>
    <numFmt numFmtId="167" formatCode="mmm\ d\,\ yyyy"/>
    <numFmt numFmtId="168" formatCode="d"/>
  </numFmts>
  <fonts count="32"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sz val="11"/>
      <color rgb="FF1D2129"/>
      <name val="Arial"/>
      <family val="2"/>
      <scheme val="minor"/>
    </font>
    <font>
      <u/>
      <sz val="11"/>
      <color indexed="12"/>
      <name val="Arial"/>
      <family val="2"/>
      <scheme val="minor"/>
    </font>
    <font>
      <b/>
      <sz val="22"/>
      <color theme="9"/>
      <name val="Arial Black"/>
      <family val="2"/>
      <scheme val="major"/>
    </font>
  </fonts>
  <fills count="11">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0">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164"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6" fontId="4" fillId="0" borderId="2">
      <alignment horizontal="center" vertical="center"/>
    </xf>
    <xf numFmtId="165"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04">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4" fillId="0" borderId="0" xfId="0" applyFont="1" applyAlignment="1">
      <alignment horizontal="left" indent="1"/>
    </xf>
    <xf numFmtId="168" fontId="21" fillId="10" borderId="18" xfId="0" applyNumberFormat="1" applyFont="1" applyFill="1" applyBorder="1" applyAlignment="1">
      <alignment horizontal="center" vertical="center"/>
    </xf>
    <xf numFmtId="168" fontId="21" fillId="10" borderId="16" xfId="0" applyNumberFormat="1" applyFont="1" applyFill="1" applyBorder="1" applyAlignment="1">
      <alignment horizontal="center" vertical="center"/>
    </xf>
    <xf numFmtId="168" fontId="21" fillId="10" borderId="17" xfId="0" applyNumberFormat="1" applyFont="1" applyFill="1" applyBorder="1" applyAlignment="1">
      <alignment horizontal="center" vertical="center"/>
    </xf>
    <xf numFmtId="0" fontId="22" fillId="2" borderId="15" xfId="0" applyFont="1" applyFill="1" applyBorder="1" applyAlignment="1">
      <alignment horizontal="center" vertical="center" shrinkToFit="1"/>
    </xf>
    <xf numFmtId="0" fontId="22" fillId="2" borderId="12" xfId="0" applyFont="1" applyFill="1" applyBorder="1" applyAlignment="1">
      <alignment horizontal="center" vertical="center" shrinkToFit="1"/>
    </xf>
    <xf numFmtId="0" fontId="22" fillId="2" borderId="13"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5" borderId="0" xfId="0" applyFont="1" applyFill="1" applyAlignment="1">
      <alignment horizontal="left" vertical="center" indent="1"/>
    </xf>
    <xf numFmtId="0" fontId="19" fillId="5" borderId="0" xfId="11" applyFont="1" applyFill="1" applyBorder="1" applyAlignment="1">
      <alignment vertical="center"/>
    </xf>
    <xf numFmtId="9" fontId="1" fillId="5" borderId="0" xfId="2" applyFont="1" applyFill="1" applyBorder="1" applyAlignment="1">
      <alignment horizontal="center" vertical="center"/>
    </xf>
    <xf numFmtId="165" fontId="19" fillId="5" borderId="0" xfId="0" applyNumberFormat="1" applyFont="1" applyFill="1" applyAlignment="1">
      <alignment horizontal="center" vertical="center"/>
    </xf>
    <xf numFmtId="165" fontId="1" fillId="5" borderId="0" xfId="0" applyNumberFormat="1" applyFont="1" applyFill="1" applyAlignment="1">
      <alignment horizontal="center" vertical="center"/>
    </xf>
    <xf numFmtId="0" fontId="4" fillId="0" borderId="10"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5"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5" fontId="19" fillId="3" borderId="7" xfId="10" applyFont="1" applyFill="1" applyBorder="1">
      <alignment horizontal="center" vertical="center"/>
    </xf>
    <xf numFmtId="0" fontId="4" fillId="0" borderId="4" xfId="0" applyFont="1" applyBorder="1" applyAlignment="1">
      <alignment horizontal="righ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5" fontId="19" fillId="6" borderId="0" xfId="0" applyNumberFormat="1" applyFont="1" applyFill="1" applyAlignment="1">
      <alignment horizontal="center" vertical="center"/>
    </xf>
    <xf numFmtId="165" fontId="1" fillId="6"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165" fontId="19" fillId="4" borderId="5" xfId="10" applyFont="1" applyFill="1" applyBorder="1">
      <alignment horizontal="center"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5" fontId="19" fillId="7" borderId="0" xfId="0" applyNumberFormat="1" applyFont="1" applyFill="1" applyAlignment="1">
      <alignment horizontal="center" vertical="center"/>
    </xf>
    <xf numFmtId="165" fontId="1" fillId="7" borderId="0" xfId="0" applyNumberFormat="1" applyFont="1" applyFill="1" applyAlignment="1">
      <alignment horizontal="center" vertical="center"/>
    </xf>
    <xf numFmtId="0" fontId="4" fillId="0" borderId="9" xfId="0" applyFont="1" applyBorder="1" applyAlignment="1">
      <alignment vertical="center"/>
    </xf>
    <xf numFmtId="0" fontId="19" fillId="8" borderId="8" xfId="12" applyFont="1" applyFill="1" applyBorder="1">
      <alignment horizontal="left" vertical="center" indent="2"/>
    </xf>
    <xf numFmtId="0" fontId="19" fillId="8" borderId="8" xfId="11" applyFont="1" applyFill="1" applyBorder="1" applyAlignment="1">
      <alignment vertical="center"/>
    </xf>
    <xf numFmtId="165" fontId="19" fillId="8" borderId="8" xfId="10" applyFont="1" applyFill="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5" fontId="25" fillId="2" borderId="0" xfId="0" applyNumberFormat="1" applyFont="1" applyFill="1" applyAlignment="1">
      <alignment horizontal="left" vertical="center"/>
    </xf>
    <xf numFmtId="165"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29" fillId="0" borderId="0" xfId="0" applyFont="1" applyAlignment="1">
      <alignment horizontal="left" vertical="top" wrapText="1" indent="1"/>
    </xf>
    <xf numFmtId="0" fontId="0" fillId="0" borderId="0" xfId="0" applyAlignment="1">
      <alignment horizontal="left" vertical="top" wrapText="1" indent="1"/>
    </xf>
    <xf numFmtId="0" fontId="30" fillId="0" borderId="0" xfId="1" applyFont="1" applyAlignment="1" applyProtection="1">
      <alignment horizontal="left" vertical="top" indent="1"/>
    </xf>
    <xf numFmtId="0" fontId="1" fillId="0" borderId="0" xfId="0" applyFont="1" applyAlignment="1">
      <alignment horizontal="left" vertical="top" indent="1"/>
    </xf>
    <xf numFmtId="0" fontId="31" fillId="0" borderId="0" xfId="5" applyFont="1" applyAlignment="1">
      <alignment horizontal="left"/>
    </xf>
    <xf numFmtId="0" fontId="2" fillId="0" borderId="0" xfId="1" applyAlignment="1" applyProtection="1">
      <alignment horizontal="left" vertical="top" indent="1"/>
    </xf>
    <xf numFmtId="167" fontId="19" fillId="2" borderId="11" xfId="0" applyNumberFormat="1" applyFont="1" applyFill="1" applyBorder="1" applyAlignment="1">
      <alignment horizontal="center" vertical="center" wrapText="1"/>
    </xf>
    <xf numFmtId="167" fontId="19" fillId="2" borderId="17" xfId="0" applyNumberFormat="1" applyFont="1" applyFill="1" applyBorder="1" applyAlignment="1">
      <alignment horizontal="center" vertical="center" wrapText="1"/>
    </xf>
    <xf numFmtId="167" fontId="19" fillId="2" borderId="16" xfId="0" applyNumberFormat="1" applyFont="1" applyFill="1" applyBorder="1" applyAlignment="1">
      <alignment horizontal="center" vertical="center" wrapText="1"/>
    </xf>
    <xf numFmtId="0" fontId="20" fillId="9" borderId="14" xfId="0" applyFont="1" applyFill="1" applyBorder="1" applyAlignment="1">
      <alignment horizontal="center" vertical="center"/>
    </xf>
    <xf numFmtId="0" fontId="4" fillId="2" borderId="19" xfId="0" applyFont="1" applyFill="1" applyBorder="1"/>
    <xf numFmtId="0" fontId="27" fillId="0" borderId="0" xfId="0" applyFont="1" applyAlignment="1">
      <alignment horizontal="left"/>
    </xf>
    <xf numFmtId="0" fontId="28" fillId="0" borderId="0" xfId="0" applyFont="1"/>
    <xf numFmtId="166" fontId="27" fillId="0" borderId="0" xfId="9" applyFont="1" applyBorder="1" applyAlignment="1">
      <alignment horizontal="left"/>
    </xf>
    <xf numFmtId="0" fontId="26" fillId="0" borderId="0" xfId="8" applyFont="1" applyAlignment="1">
      <alignment horizontal="left"/>
    </xf>
    <xf numFmtId="0" fontId="4" fillId="0" borderId="0" xfId="0" applyFont="1"/>
    <xf numFmtId="0" fontId="13" fillId="0" borderId="0" xfId="3" applyAlignment="1">
      <alignment wrapText="1"/>
    </xf>
    <xf numFmtId="0" fontId="20" fillId="9" borderId="14" xfId="0" applyFont="1" applyFill="1" applyBorder="1" applyAlignment="1">
      <alignment horizontal="left" vertical="center" indent="1"/>
    </xf>
    <xf numFmtId="0" fontId="4" fillId="2" borderId="19" xfId="0" applyFont="1" applyFill="1" applyBorder="1" applyAlignment="1">
      <alignment horizontal="left" indent="1"/>
    </xf>
    <xf numFmtId="0" fontId="20" fillId="9" borderId="14" xfId="0" applyFont="1" applyFill="1" applyBorder="1" applyAlignment="1">
      <alignment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7">
    <dxf>
      <fill>
        <patternFill>
          <bgColor theme="4" tint="0.39994506668294322"/>
        </patternFill>
      </fill>
      <border>
        <left/>
        <right/>
        <top style="thin">
          <color theme="0" tint="-4.9989318521683403E-2"/>
        </top>
        <bottom style="thin">
          <color theme="0" tint="-4.9989318521683403E-2"/>
        </bottom>
      </border>
    </dxf>
    <dxf>
      <fill>
        <patternFill>
          <bgColor theme="8"/>
        </patternFill>
      </fill>
      <border>
        <left/>
        <right/>
      </border>
    </dxf>
    <dxf>
      <fill>
        <patternFill>
          <bgColor theme="8" tint="0.59996337778862885"/>
        </patternFill>
      </fill>
      <border>
        <left/>
        <right/>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4" tint="0.39994506668294322"/>
        </patternFill>
      </fill>
      <border>
        <left/>
        <right/>
        <top style="thin">
          <color theme="0" tint="-4.9989318521683403E-2"/>
        </top>
        <bottom style="thin">
          <color theme="0" tint="-4.9989318521683403E-2"/>
        </bottom>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secondRowStripe" dxfId="10"/>
      <tableStyleElement type="firstColumnStripe" dxfId="9"/>
      <tableStyleElement type="secondColumnStripe" dxfId="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github.com/ShadowOfShark/SFWRBME-5P06"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S53"/>
  <sheetViews>
    <sheetView showGridLines="0" tabSelected="1" showRuler="0" topLeftCell="A82" zoomScale="130" zoomScaleNormal="130" zoomScalePageLayoutView="70" workbookViewId="0">
      <selection activeCell="S37" sqref="S37"/>
    </sheetView>
  </sheetViews>
  <sheetFormatPr defaultColWidth="8.75" defaultRowHeight="30" customHeight="1" x14ac:dyDescent="0.2"/>
  <cols>
    <col min="1" max="1" width="2.75" style="13" customWidth="1"/>
    <col min="2" max="2" width="29.875" customWidth="1"/>
    <col min="3" max="3" width="16.75" customWidth="1"/>
    <col min="4" max="4" width="10.75" customWidth="1"/>
    <col min="5" max="5" width="10.75" style="2" customWidth="1"/>
    <col min="6" max="6" width="10.75" customWidth="1"/>
    <col min="7" max="7" width="2.75" customWidth="1"/>
    <col min="8" max="8" width="6" hidden="1" customWidth="1"/>
    <col min="9" max="66" width="2.75" customWidth="1"/>
    <col min="67" max="67" width="2.875" customWidth="1"/>
    <col min="68" max="68" width="2.25" customWidth="1"/>
    <col min="69" max="69" width="2.5" customWidth="1"/>
    <col min="70" max="70" width="2.875" customWidth="1"/>
    <col min="71" max="71" width="2" customWidth="1"/>
  </cols>
  <sheetData>
    <row r="1" spans="1:71" ht="90" customHeight="1" x14ac:dyDescent="0.65">
      <c r="A1" s="14"/>
      <c r="B1" s="88" t="s">
        <v>23</v>
      </c>
      <c r="C1" s="18"/>
      <c r="D1" s="19"/>
      <c r="E1" s="20"/>
      <c r="F1" s="21"/>
      <c r="H1" s="1"/>
      <c r="I1" s="98" t="s">
        <v>20</v>
      </c>
      <c r="J1" s="99"/>
      <c r="K1" s="99"/>
      <c r="L1" s="99"/>
      <c r="M1" s="99"/>
      <c r="N1" s="99"/>
      <c r="O1" s="99"/>
      <c r="P1" s="24"/>
      <c r="Q1" s="97">
        <f ca="1">TODAY()-93</f>
        <v>45969</v>
      </c>
      <c r="R1" s="96"/>
      <c r="S1" s="96"/>
      <c r="T1" s="96"/>
      <c r="U1" s="96"/>
      <c r="V1" s="96"/>
      <c r="W1" s="96"/>
      <c r="X1" s="96"/>
      <c r="Y1" s="96"/>
      <c r="Z1" s="96"/>
    </row>
    <row r="2" spans="1:71" ht="30" customHeight="1" x14ac:dyDescent="0.5">
      <c r="B2" s="79" t="s">
        <v>24</v>
      </c>
      <c r="C2" s="80" t="s">
        <v>25</v>
      </c>
      <c r="D2" s="22"/>
      <c r="E2" s="23"/>
      <c r="F2" s="22"/>
      <c r="I2" s="98" t="s">
        <v>21</v>
      </c>
      <c r="J2" s="99"/>
      <c r="K2" s="99"/>
      <c r="L2" s="99"/>
      <c r="M2" s="99"/>
      <c r="N2" s="99"/>
      <c r="O2" s="99"/>
      <c r="P2" s="24"/>
      <c r="Q2" s="95">
        <v>8</v>
      </c>
      <c r="R2" s="96"/>
      <c r="S2" s="96"/>
      <c r="T2" s="96"/>
      <c r="U2" s="96"/>
      <c r="V2" s="96"/>
      <c r="W2" s="96"/>
      <c r="X2" s="96"/>
      <c r="Y2" s="96"/>
      <c r="Z2" s="96"/>
    </row>
    <row r="3" spans="1:71" s="26" customFormat="1" ht="30" customHeight="1" x14ac:dyDescent="0.25">
      <c r="A3" s="13"/>
      <c r="B3" s="25" t="s">
        <v>26</v>
      </c>
      <c r="D3" s="27"/>
      <c r="E3" s="28"/>
    </row>
    <row r="4" spans="1:71" s="26" customFormat="1" ht="30" customHeight="1" x14ac:dyDescent="0.2">
      <c r="A4" s="14"/>
      <c r="B4" s="89" t="s">
        <v>27</v>
      </c>
      <c r="E4" s="29"/>
      <c r="I4" s="92">
        <f ca="1">I5</f>
        <v>46013</v>
      </c>
      <c r="J4" s="90"/>
      <c r="K4" s="90"/>
      <c r="L4" s="90"/>
      <c r="M4" s="90"/>
      <c r="N4" s="90"/>
      <c r="O4" s="90"/>
      <c r="P4" s="90">
        <f ca="1">P5</f>
        <v>46020</v>
      </c>
      <c r="Q4" s="90"/>
      <c r="R4" s="90"/>
      <c r="S4" s="90"/>
      <c r="T4" s="90"/>
      <c r="U4" s="90"/>
      <c r="V4" s="90"/>
      <c r="W4" s="90">
        <f ca="1">W5</f>
        <v>46027</v>
      </c>
      <c r="X4" s="90"/>
      <c r="Y4" s="90"/>
      <c r="Z4" s="90"/>
      <c r="AA4" s="90"/>
      <c r="AB4" s="90"/>
      <c r="AC4" s="90"/>
      <c r="AD4" s="90">
        <f ca="1">AD5</f>
        <v>46034</v>
      </c>
      <c r="AE4" s="90"/>
      <c r="AF4" s="90"/>
      <c r="AG4" s="90"/>
      <c r="AH4" s="90"/>
      <c r="AI4" s="90"/>
      <c r="AJ4" s="90"/>
      <c r="AK4" s="90">
        <f ca="1">AK5</f>
        <v>46041</v>
      </c>
      <c r="AL4" s="90"/>
      <c r="AM4" s="90"/>
      <c r="AN4" s="90"/>
      <c r="AO4" s="90"/>
      <c r="AP4" s="90"/>
      <c r="AQ4" s="90"/>
      <c r="AR4" s="90">
        <f ca="1">AR5</f>
        <v>46048</v>
      </c>
      <c r="AS4" s="90"/>
      <c r="AT4" s="90"/>
      <c r="AU4" s="90"/>
      <c r="AV4" s="90"/>
      <c r="AW4" s="90"/>
      <c r="AX4" s="90"/>
      <c r="AY4" s="90">
        <f ca="1">AY5</f>
        <v>46055</v>
      </c>
      <c r="AZ4" s="90"/>
      <c r="BA4" s="90"/>
      <c r="BB4" s="90"/>
      <c r="BC4" s="90"/>
      <c r="BD4" s="90"/>
      <c r="BE4" s="90"/>
      <c r="BF4" s="90">
        <f ca="1">BF5</f>
        <v>46062</v>
      </c>
      <c r="BG4" s="90"/>
      <c r="BH4" s="90"/>
      <c r="BI4" s="90"/>
      <c r="BJ4" s="90"/>
      <c r="BK4" s="90"/>
      <c r="BL4" s="91"/>
      <c r="BM4" s="90">
        <f ca="1">BM5</f>
        <v>46069</v>
      </c>
      <c r="BN4" s="90"/>
      <c r="BO4" s="90"/>
      <c r="BP4" s="90"/>
      <c r="BQ4" s="90"/>
      <c r="BR4" s="90"/>
      <c r="BS4" s="91"/>
    </row>
    <row r="5" spans="1:71" s="26" customFormat="1" ht="15" customHeight="1" x14ac:dyDescent="0.2">
      <c r="A5" s="100"/>
      <c r="B5" s="101" t="s">
        <v>5</v>
      </c>
      <c r="C5" s="103" t="s">
        <v>22</v>
      </c>
      <c r="D5" s="93" t="s">
        <v>1</v>
      </c>
      <c r="E5" s="93" t="s">
        <v>3</v>
      </c>
      <c r="F5" s="93" t="s">
        <v>4</v>
      </c>
      <c r="I5" s="30">
        <f ca="1">Project_Start-WEEKDAY(Project_Start,1)+2+7*(Display_Week-1)</f>
        <v>46013</v>
      </c>
      <c r="J5" s="30">
        <f ca="1">I5+1</f>
        <v>46014</v>
      </c>
      <c r="K5" s="30">
        <f t="shared" ref="K5:AX5" ca="1" si="0">J5+1</f>
        <v>46015</v>
      </c>
      <c r="L5" s="30">
        <f t="shared" ca="1" si="0"/>
        <v>46016</v>
      </c>
      <c r="M5" s="30">
        <f t="shared" ca="1" si="0"/>
        <v>46017</v>
      </c>
      <c r="N5" s="30">
        <f t="shared" ca="1" si="0"/>
        <v>46018</v>
      </c>
      <c r="O5" s="31">
        <f t="shared" ca="1" si="0"/>
        <v>46019</v>
      </c>
      <c r="P5" s="32">
        <f ca="1">O5+1</f>
        <v>46020</v>
      </c>
      <c r="Q5" s="30">
        <f ca="1">P5+1</f>
        <v>46021</v>
      </c>
      <c r="R5" s="30">
        <f t="shared" ca="1" si="0"/>
        <v>46022</v>
      </c>
      <c r="S5" s="30">
        <f t="shared" ca="1" si="0"/>
        <v>46023</v>
      </c>
      <c r="T5" s="30">
        <f t="shared" ca="1" si="0"/>
        <v>46024</v>
      </c>
      <c r="U5" s="30">
        <f t="shared" ca="1" si="0"/>
        <v>46025</v>
      </c>
      <c r="V5" s="31">
        <f t="shared" ca="1" si="0"/>
        <v>46026</v>
      </c>
      <c r="W5" s="32">
        <f ca="1">V5+1</f>
        <v>46027</v>
      </c>
      <c r="X5" s="30">
        <f ca="1">W5+1</f>
        <v>46028</v>
      </c>
      <c r="Y5" s="30">
        <f t="shared" ca="1" si="0"/>
        <v>46029</v>
      </c>
      <c r="Z5" s="30">
        <f t="shared" ca="1" si="0"/>
        <v>46030</v>
      </c>
      <c r="AA5" s="30">
        <f t="shared" ca="1" si="0"/>
        <v>46031</v>
      </c>
      <c r="AB5" s="30">
        <f t="shared" ca="1" si="0"/>
        <v>46032</v>
      </c>
      <c r="AC5" s="31">
        <f t="shared" ca="1" si="0"/>
        <v>46033</v>
      </c>
      <c r="AD5" s="32">
        <f ca="1">AC5+1</f>
        <v>46034</v>
      </c>
      <c r="AE5" s="30">
        <f ca="1">AD5+1</f>
        <v>46035</v>
      </c>
      <c r="AF5" s="30">
        <f t="shared" ca="1" si="0"/>
        <v>46036</v>
      </c>
      <c r="AG5" s="30">
        <f t="shared" ca="1" si="0"/>
        <v>46037</v>
      </c>
      <c r="AH5" s="30">
        <f t="shared" ca="1" si="0"/>
        <v>46038</v>
      </c>
      <c r="AI5" s="30">
        <f t="shared" ca="1" si="0"/>
        <v>46039</v>
      </c>
      <c r="AJ5" s="31">
        <f t="shared" ca="1" si="0"/>
        <v>46040</v>
      </c>
      <c r="AK5" s="32">
        <f ca="1">AJ5+1</f>
        <v>46041</v>
      </c>
      <c r="AL5" s="30">
        <f ca="1">AK5+1</f>
        <v>46042</v>
      </c>
      <c r="AM5" s="30">
        <f t="shared" ca="1" si="0"/>
        <v>46043</v>
      </c>
      <c r="AN5" s="30">
        <f t="shared" ca="1" si="0"/>
        <v>46044</v>
      </c>
      <c r="AO5" s="30">
        <f t="shared" ca="1" si="0"/>
        <v>46045</v>
      </c>
      <c r="AP5" s="30">
        <f t="shared" ca="1" si="0"/>
        <v>46046</v>
      </c>
      <c r="AQ5" s="31">
        <f t="shared" ca="1" si="0"/>
        <v>46047</v>
      </c>
      <c r="AR5" s="32">
        <f ca="1">AQ5+1</f>
        <v>46048</v>
      </c>
      <c r="AS5" s="30">
        <f ca="1">AR5+1</f>
        <v>46049</v>
      </c>
      <c r="AT5" s="30">
        <f t="shared" ca="1" si="0"/>
        <v>46050</v>
      </c>
      <c r="AU5" s="30">
        <f t="shared" ca="1" si="0"/>
        <v>46051</v>
      </c>
      <c r="AV5" s="30">
        <f t="shared" ca="1" si="0"/>
        <v>46052</v>
      </c>
      <c r="AW5" s="30">
        <f t="shared" ca="1" si="0"/>
        <v>46053</v>
      </c>
      <c r="AX5" s="31">
        <f t="shared" ca="1" si="0"/>
        <v>46054</v>
      </c>
      <c r="AY5" s="32">
        <f ca="1">AX5+1</f>
        <v>46055</v>
      </c>
      <c r="AZ5" s="30">
        <f ca="1">AY5+1</f>
        <v>46056</v>
      </c>
      <c r="BA5" s="30">
        <f t="shared" ref="BA5:BE5" ca="1" si="1">AZ5+1</f>
        <v>46057</v>
      </c>
      <c r="BB5" s="30">
        <f t="shared" ca="1" si="1"/>
        <v>46058</v>
      </c>
      <c r="BC5" s="30">
        <f t="shared" ca="1" si="1"/>
        <v>46059</v>
      </c>
      <c r="BD5" s="30">
        <f t="shared" ca="1" si="1"/>
        <v>46060</v>
      </c>
      <c r="BE5" s="31">
        <f t="shared" ca="1" si="1"/>
        <v>46061</v>
      </c>
      <c r="BF5" s="32">
        <f ca="1">BE5+1</f>
        <v>46062</v>
      </c>
      <c r="BG5" s="30">
        <f ca="1">BF5+1</f>
        <v>46063</v>
      </c>
      <c r="BH5" s="30">
        <f t="shared" ref="BH5:BL5" ca="1" si="2">BG5+1</f>
        <v>46064</v>
      </c>
      <c r="BI5" s="30">
        <f t="shared" ca="1" si="2"/>
        <v>46065</v>
      </c>
      <c r="BJ5" s="30">
        <f t="shared" ca="1" si="2"/>
        <v>46066</v>
      </c>
      <c r="BK5" s="30">
        <f t="shared" ca="1" si="2"/>
        <v>46067</v>
      </c>
      <c r="BL5" s="30">
        <f t="shared" ca="1" si="2"/>
        <v>46068</v>
      </c>
      <c r="BM5" s="32">
        <f ca="1">BL5+1</f>
        <v>46069</v>
      </c>
      <c r="BN5" s="30">
        <f ca="1">BM5+1</f>
        <v>46070</v>
      </c>
      <c r="BO5" s="30">
        <f t="shared" ref="BO5" ca="1" si="3">BN5+1</f>
        <v>46071</v>
      </c>
      <c r="BP5" s="30">
        <f t="shared" ref="BP5" ca="1" si="4">BO5+1</f>
        <v>46072</v>
      </c>
      <c r="BQ5" s="30">
        <f t="shared" ref="BQ5" ca="1" si="5">BP5+1</f>
        <v>46073</v>
      </c>
      <c r="BR5" s="30">
        <f t="shared" ref="BR5" ca="1" si="6">BQ5+1</f>
        <v>46074</v>
      </c>
      <c r="BS5" s="30">
        <f t="shared" ref="BS5" ca="1" si="7">BR5+1</f>
        <v>46075</v>
      </c>
    </row>
    <row r="6" spans="1:71" s="26" customFormat="1" ht="15" customHeight="1" thickBot="1" x14ac:dyDescent="0.25">
      <c r="A6" s="100"/>
      <c r="B6" s="102"/>
      <c r="C6" s="94"/>
      <c r="D6" s="94"/>
      <c r="E6" s="94"/>
      <c r="F6" s="94"/>
      <c r="I6" s="33" t="str">
        <f t="shared" ref="I6:AN6" ca="1" si="8">LEFT(TEXT(I5,"ddd"),1)</f>
        <v>M</v>
      </c>
      <c r="J6" s="34" t="str">
        <f t="shared" ca="1" si="8"/>
        <v>T</v>
      </c>
      <c r="K6" s="34" t="str">
        <f t="shared" ca="1" si="8"/>
        <v>W</v>
      </c>
      <c r="L6" s="34" t="str">
        <f t="shared" ca="1" si="8"/>
        <v>T</v>
      </c>
      <c r="M6" s="34" t="str">
        <f t="shared" ca="1" si="8"/>
        <v>F</v>
      </c>
      <c r="N6" s="34" t="str">
        <f t="shared" ca="1" si="8"/>
        <v>S</v>
      </c>
      <c r="O6" s="34" t="str">
        <f t="shared" ca="1" si="8"/>
        <v>S</v>
      </c>
      <c r="P6" s="34" t="str">
        <f t="shared" ca="1" si="8"/>
        <v>M</v>
      </c>
      <c r="Q6" s="34" t="str">
        <f t="shared" ca="1" si="8"/>
        <v>T</v>
      </c>
      <c r="R6" s="34" t="str">
        <f t="shared" ca="1" si="8"/>
        <v>W</v>
      </c>
      <c r="S6" s="34" t="str">
        <f t="shared" ca="1" si="8"/>
        <v>T</v>
      </c>
      <c r="T6" s="34" t="str">
        <f t="shared" ca="1" si="8"/>
        <v>F</v>
      </c>
      <c r="U6" s="34" t="str">
        <f t="shared" ca="1" si="8"/>
        <v>S</v>
      </c>
      <c r="V6" s="34" t="str">
        <f t="shared" ca="1" si="8"/>
        <v>S</v>
      </c>
      <c r="W6" s="34" t="str">
        <f t="shared" ca="1" si="8"/>
        <v>M</v>
      </c>
      <c r="X6" s="34" t="str">
        <f t="shared" ca="1" si="8"/>
        <v>T</v>
      </c>
      <c r="Y6" s="34" t="str">
        <f t="shared" ca="1" si="8"/>
        <v>W</v>
      </c>
      <c r="Z6" s="34" t="str">
        <f t="shared" ca="1" si="8"/>
        <v>T</v>
      </c>
      <c r="AA6" s="34" t="str">
        <f t="shared" ca="1" si="8"/>
        <v>F</v>
      </c>
      <c r="AB6" s="34" t="str">
        <f t="shared" ca="1" si="8"/>
        <v>S</v>
      </c>
      <c r="AC6" s="34" t="str">
        <f t="shared" ca="1" si="8"/>
        <v>S</v>
      </c>
      <c r="AD6" s="34" t="str">
        <f t="shared" ca="1" si="8"/>
        <v>M</v>
      </c>
      <c r="AE6" s="34" t="str">
        <f t="shared" ca="1" si="8"/>
        <v>T</v>
      </c>
      <c r="AF6" s="34" t="str">
        <f t="shared" ca="1" si="8"/>
        <v>W</v>
      </c>
      <c r="AG6" s="34" t="str">
        <f t="shared" ca="1" si="8"/>
        <v>T</v>
      </c>
      <c r="AH6" s="34" t="str">
        <f t="shared" ca="1" si="8"/>
        <v>F</v>
      </c>
      <c r="AI6" s="34" t="str">
        <f t="shared" ca="1" si="8"/>
        <v>S</v>
      </c>
      <c r="AJ6" s="34" t="str">
        <f t="shared" ca="1" si="8"/>
        <v>S</v>
      </c>
      <c r="AK6" s="34" t="str">
        <f t="shared" ca="1" si="8"/>
        <v>M</v>
      </c>
      <c r="AL6" s="34" t="str">
        <f t="shared" ca="1" si="8"/>
        <v>T</v>
      </c>
      <c r="AM6" s="34" t="str">
        <f t="shared" ca="1" si="8"/>
        <v>W</v>
      </c>
      <c r="AN6" s="34" t="str">
        <f t="shared" ca="1" si="8"/>
        <v>T</v>
      </c>
      <c r="AO6" s="34" t="str">
        <f t="shared" ref="AO6:BL6" ca="1" si="9">LEFT(TEXT(AO5,"ddd"),1)</f>
        <v>F</v>
      </c>
      <c r="AP6" s="34" t="str">
        <f t="shared" ca="1" si="9"/>
        <v>S</v>
      </c>
      <c r="AQ6" s="34" t="str">
        <f t="shared" ca="1" si="9"/>
        <v>S</v>
      </c>
      <c r="AR6" s="34" t="str">
        <f t="shared" ca="1" si="9"/>
        <v>M</v>
      </c>
      <c r="AS6" s="34" t="str">
        <f t="shared" ca="1" si="9"/>
        <v>T</v>
      </c>
      <c r="AT6" s="34" t="str">
        <f t="shared" ca="1" si="9"/>
        <v>W</v>
      </c>
      <c r="AU6" s="34" t="str">
        <f t="shared" ca="1" si="9"/>
        <v>T</v>
      </c>
      <c r="AV6" s="34" t="str">
        <f t="shared" ca="1" si="9"/>
        <v>F</v>
      </c>
      <c r="AW6" s="34" t="str">
        <f t="shared" ca="1" si="9"/>
        <v>S</v>
      </c>
      <c r="AX6" s="34" t="str">
        <f t="shared" ca="1" si="9"/>
        <v>S</v>
      </c>
      <c r="AY6" s="34" t="str">
        <f t="shared" ca="1" si="9"/>
        <v>M</v>
      </c>
      <c r="AZ6" s="34" t="str">
        <f t="shared" ca="1" si="9"/>
        <v>T</v>
      </c>
      <c r="BA6" s="34" t="str">
        <f t="shared" ca="1" si="9"/>
        <v>W</v>
      </c>
      <c r="BB6" s="34" t="str">
        <f t="shared" ca="1" si="9"/>
        <v>T</v>
      </c>
      <c r="BC6" s="34" t="str">
        <f t="shared" ca="1" si="9"/>
        <v>F</v>
      </c>
      <c r="BD6" s="34" t="str">
        <f t="shared" ca="1" si="9"/>
        <v>S</v>
      </c>
      <c r="BE6" s="34" t="str">
        <f t="shared" ca="1" si="9"/>
        <v>S</v>
      </c>
      <c r="BF6" s="34" t="str">
        <f t="shared" ca="1" si="9"/>
        <v>M</v>
      </c>
      <c r="BG6" s="34" t="str">
        <f t="shared" ca="1" si="9"/>
        <v>T</v>
      </c>
      <c r="BH6" s="34" t="str">
        <f t="shared" ca="1" si="9"/>
        <v>W</v>
      </c>
      <c r="BI6" s="34" t="str">
        <f t="shared" ca="1" si="9"/>
        <v>T</v>
      </c>
      <c r="BJ6" s="34" t="str">
        <f t="shared" ca="1" si="9"/>
        <v>F</v>
      </c>
      <c r="BK6" s="34" t="str">
        <f t="shared" ca="1" si="9"/>
        <v>S</v>
      </c>
      <c r="BL6" s="35" t="str">
        <f t="shared" ca="1" si="9"/>
        <v>S</v>
      </c>
      <c r="BM6" s="34" t="str">
        <f t="shared" ref="BM6:BS6" ca="1" si="10">LEFT(TEXT(BM5,"ddd"),1)</f>
        <v>M</v>
      </c>
      <c r="BN6" s="34" t="str">
        <f t="shared" ca="1" si="10"/>
        <v>T</v>
      </c>
      <c r="BO6" s="34" t="str">
        <f t="shared" ca="1" si="10"/>
        <v>W</v>
      </c>
      <c r="BP6" s="34" t="str">
        <f t="shared" ca="1" si="10"/>
        <v>T</v>
      </c>
      <c r="BQ6" s="34" t="str">
        <f t="shared" ca="1" si="10"/>
        <v>F</v>
      </c>
      <c r="BR6" s="34" t="str">
        <f t="shared" ca="1" si="10"/>
        <v>S</v>
      </c>
      <c r="BS6" s="35" t="str">
        <f t="shared" ca="1" si="10"/>
        <v>S</v>
      </c>
    </row>
    <row r="7" spans="1:71" s="26" customFormat="1" ht="30" hidden="1" customHeight="1" thickBot="1" x14ac:dyDescent="0.25">
      <c r="A7" s="13" t="s">
        <v>19</v>
      </c>
      <c r="B7" s="36"/>
      <c r="C7" s="37"/>
      <c r="D7" s="36"/>
      <c r="E7" s="36"/>
      <c r="F7" s="36"/>
      <c r="H7" s="26" t="str">
        <f>IF(OR(ISBLANK(task_start),ISBLANK(task_end)),"",task_end-task_start+1)</f>
        <v/>
      </c>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38"/>
      <c r="AM7" s="38"/>
      <c r="AN7" s="38"/>
      <c r="AO7" s="38"/>
      <c r="AP7" s="38"/>
      <c r="AQ7" s="38"/>
      <c r="AR7" s="38"/>
      <c r="AS7" s="38"/>
      <c r="AT7" s="38"/>
      <c r="AU7" s="38"/>
      <c r="AV7" s="38"/>
      <c r="AW7" s="38"/>
      <c r="AX7" s="38"/>
      <c r="AY7" s="38"/>
      <c r="AZ7" s="38"/>
      <c r="BA7" s="38"/>
      <c r="BB7" s="38"/>
      <c r="BC7" s="38"/>
      <c r="BD7" s="38"/>
      <c r="BE7" s="38"/>
      <c r="BF7" s="38"/>
      <c r="BG7" s="38"/>
      <c r="BH7" s="38"/>
      <c r="BI7" s="38"/>
      <c r="BJ7" s="38"/>
      <c r="BK7" s="38"/>
      <c r="BL7" s="38"/>
      <c r="BM7" s="38"/>
      <c r="BN7" s="38"/>
      <c r="BO7" s="38"/>
      <c r="BP7" s="38"/>
      <c r="BQ7" s="38"/>
      <c r="BR7" s="38"/>
      <c r="BS7" s="38"/>
    </row>
    <row r="8" spans="1:71" s="45" customFormat="1" ht="30" customHeight="1" thickBot="1" x14ac:dyDescent="0.25">
      <c r="A8" s="14"/>
      <c r="B8" s="39" t="s">
        <v>57</v>
      </c>
      <c r="C8" s="40"/>
      <c r="D8" s="41"/>
      <c r="E8" s="42"/>
      <c r="F8" s="43"/>
      <c r="G8" s="17"/>
      <c r="H8" s="5" t="str">
        <f t="shared" ref="H8:H50" si="11">IF(OR(ISBLANK(task_start),ISBLANK(task_end)),"",task_end-task_start+1)</f>
        <v/>
      </c>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c r="BQ8" s="44"/>
      <c r="BR8" s="44"/>
      <c r="BS8" s="44"/>
    </row>
    <row r="9" spans="1:71" s="45" customFormat="1" ht="30" customHeight="1" thickBot="1" x14ac:dyDescent="0.25">
      <c r="A9" s="14"/>
      <c r="B9" s="46" t="s">
        <v>28</v>
      </c>
      <c r="C9" s="47" t="s">
        <v>48</v>
      </c>
      <c r="D9" s="48">
        <v>1</v>
      </c>
      <c r="E9" s="49">
        <v>46027</v>
      </c>
      <c r="F9" s="49">
        <v>46032</v>
      </c>
      <c r="G9" s="17"/>
      <c r="H9" s="5">
        <f t="shared" si="11"/>
        <v>6</v>
      </c>
      <c r="I9" s="50"/>
      <c r="J9" s="50"/>
      <c r="K9" s="50"/>
      <c r="L9" s="50"/>
      <c r="M9" s="50"/>
      <c r="N9" s="50"/>
      <c r="O9" s="50"/>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0"/>
      <c r="BR9" s="50"/>
      <c r="BS9" s="50"/>
    </row>
    <row r="10" spans="1:71" s="45" customFormat="1" ht="30" customHeight="1" thickBot="1" x14ac:dyDescent="0.25">
      <c r="A10" s="14"/>
      <c r="B10" s="51" t="s">
        <v>53</v>
      </c>
      <c r="C10" s="52" t="s">
        <v>44</v>
      </c>
      <c r="D10" s="53">
        <v>1</v>
      </c>
      <c r="E10" s="54">
        <f>F9</f>
        <v>46032</v>
      </c>
      <c r="F10" s="54">
        <f>E10+3</f>
        <v>46035</v>
      </c>
      <c r="G10" s="17"/>
      <c r="H10" s="5">
        <f t="shared" si="11"/>
        <v>4</v>
      </c>
      <c r="I10" s="50"/>
      <c r="J10" s="50"/>
      <c r="K10" s="50"/>
      <c r="L10" s="50"/>
      <c r="M10" s="50"/>
      <c r="N10" s="50"/>
      <c r="O10" s="50"/>
      <c r="P10" s="50"/>
      <c r="Q10" s="50"/>
      <c r="R10" s="50"/>
      <c r="S10" s="50"/>
      <c r="T10" s="50"/>
      <c r="U10" s="55"/>
      <c r="V10" s="55"/>
      <c r="W10" s="50"/>
      <c r="X10" s="50"/>
      <c r="Y10" s="50"/>
      <c r="Z10" s="50"/>
      <c r="AA10" s="50"/>
      <c r="AB10" s="50"/>
      <c r="AC10" s="50"/>
      <c r="AD10" s="50"/>
      <c r="AE10" s="50"/>
      <c r="AF10" s="50"/>
      <c r="AG10" s="50"/>
      <c r="AH10" s="50"/>
      <c r="AI10" s="50"/>
      <c r="AJ10" s="50"/>
      <c r="AK10" s="50"/>
      <c r="AL10" s="50"/>
      <c r="AM10" s="50"/>
      <c r="AN10" s="50"/>
      <c r="AO10" s="50"/>
      <c r="AP10" s="50"/>
      <c r="AQ10" s="50"/>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0"/>
      <c r="BR10" s="50"/>
      <c r="BS10" s="50"/>
    </row>
    <row r="11" spans="1:71" s="45" customFormat="1" ht="30" customHeight="1" thickBot="1" x14ac:dyDescent="0.25">
      <c r="A11" s="13"/>
      <c r="B11" s="51" t="s">
        <v>54</v>
      </c>
      <c r="C11" s="52" t="s">
        <v>44</v>
      </c>
      <c r="D11" s="53">
        <v>1</v>
      </c>
      <c r="E11" s="54">
        <f>F10</f>
        <v>46035</v>
      </c>
      <c r="F11" s="54">
        <f>E11+3</f>
        <v>46038</v>
      </c>
      <c r="G11" s="17"/>
      <c r="H11" s="5">
        <f t="shared" si="11"/>
        <v>4</v>
      </c>
      <c r="I11" s="50"/>
      <c r="J11" s="50"/>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50"/>
      <c r="AJ11" s="50"/>
      <c r="AK11" s="50"/>
      <c r="AL11" s="50"/>
      <c r="AM11" s="50"/>
      <c r="AN11" s="50"/>
      <c r="AO11" s="50"/>
      <c r="AP11" s="50"/>
      <c r="AQ11" s="50"/>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0"/>
      <c r="BR11" s="50"/>
      <c r="BS11" s="50"/>
    </row>
    <row r="12" spans="1:71" s="45" customFormat="1" ht="30" customHeight="1" thickBot="1" x14ac:dyDescent="0.25">
      <c r="A12" s="13"/>
      <c r="B12" s="51" t="s">
        <v>55</v>
      </c>
      <c r="C12" s="52" t="s">
        <v>41</v>
      </c>
      <c r="D12" s="53">
        <v>1</v>
      </c>
      <c r="E12" s="54">
        <f>E10</f>
        <v>46032</v>
      </c>
      <c r="F12" s="54">
        <f>E12+3</f>
        <v>46035</v>
      </c>
      <c r="G12" s="17"/>
      <c r="H12" s="5">
        <f t="shared" si="11"/>
        <v>4</v>
      </c>
      <c r="I12" s="50"/>
      <c r="J12" s="50"/>
      <c r="K12" s="50"/>
      <c r="L12" s="50"/>
      <c r="M12" s="50"/>
      <c r="N12" s="50"/>
      <c r="O12" s="50"/>
      <c r="P12" s="50"/>
      <c r="Q12" s="50"/>
      <c r="R12" s="50"/>
      <c r="S12" s="50"/>
      <c r="T12" s="50"/>
      <c r="U12" s="50"/>
      <c r="V12" s="50"/>
      <c r="W12" s="50"/>
      <c r="X12" s="50"/>
      <c r="Y12" s="55"/>
      <c r="Z12" s="50"/>
      <c r="AA12" s="50"/>
      <c r="AB12" s="50"/>
      <c r="AC12" s="50"/>
      <c r="AD12" s="50"/>
      <c r="AE12" s="50"/>
      <c r="AF12" s="50"/>
      <c r="AG12" s="50"/>
      <c r="AH12" s="50"/>
      <c r="AI12" s="50"/>
      <c r="AJ12" s="50"/>
      <c r="AK12" s="50"/>
      <c r="AL12" s="50"/>
      <c r="AM12" s="50"/>
      <c r="AN12" s="50"/>
      <c r="AO12" s="50"/>
      <c r="AP12" s="50"/>
      <c r="AQ12" s="50"/>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0"/>
      <c r="BR12" s="50"/>
      <c r="BS12" s="50"/>
    </row>
    <row r="13" spans="1:71" s="45" customFormat="1" ht="30" customHeight="1" thickBot="1" x14ac:dyDescent="0.25">
      <c r="A13" s="13"/>
      <c r="B13" s="51" t="s">
        <v>56</v>
      </c>
      <c r="C13" s="52" t="s">
        <v>41</v>
      </c>
      <c r="D13" s="53">
        <v>1</v>
      </c>
      <c r="E13" s="54">
        <f>F12</f>
        <v>46035</v>
      </c>
      <c r="F13" s="54">
        <f>E13+3</f>
        <v>46038</v>
      </c>
      <c r="G13" s="17"/>
      <c r="H13" s="5"/>
      <c r="I13" s="50"/>
      <c r="J13" s="50"/>
      <c r="K13" s="50"/>
      <c r="L13" s="50"/>
      <c r="M13" s="50"/>
      <c r="N13" s="50"/>
      <c r="O13" s="50"/>
      <c r="P13" s="50"/>
      <c r="Q13" s="50"/>
      <c r="R13" s="50"/>
      <c r="S13" s="50"/>
      <c r="T13" s="50"/>
      <c r="U13" s="50"/>
      <c r="V13" s="50"/>
      <c r="W13" s="50"/>
      <c r="X13" s="50"/>
      <c r="Y13" s="55"/>
      <c r="Z13" s="50"/>
      <c r="AA13" s="50"/>
      <c r="AB13" s="50"/>
      <c r="AC13" s="50"/>
      <c r="AD13" s="50"/>
      <c r="AE13" s="50"/>
      <c r="AF13" s="50"/>
      <c r="AG13" s="50"/>
      <c r="AH13" s="50"/>
      <c r="AI13" s="50"/>
      <c r="AJ13" s="50"/>
      <c r="AK13" s="50"/>
      <c r="AL13" s="50"/>
      <c r="AM13" s="50"/>
      <c r="AN13" s="50"/>
      <c r="AO13" s="50"/>
      <c r="AP13" s="50"/>
      <c r="AQ13" s="50"/>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0"/>
      <c r="BR13" s="50"/>
      <c r="BS13" s="50"/>
    </row>
    <row r="14" spans="1:71" s="45" customFormat="1" ht="30" customHeight="1" thickBot="1" x14ac:dyDescent="0.25">
      <c r="A14" s="14"/>
      <c r="B14" s="51" t="s">
        <v>59</v>
      </c>
      <c r="C14" s="52" t="s">
        <v>44</v>
      </c>
      <c r="D14" s="53">
        <v>1</v>
      </c>
      <c r="E14" s="54">
        <f>F13</f>
        <v>46038</v>
      </c>
      <c r="F14" s="54">
        <f>E14+10</f>
        <v>46048</v>
      </c>
      <c r="G14" s="17"/>
      <c r="H14" s="5">
        <f t="shared" si="11"/>
        <v>11</v>
      </c>
      <c r="I14" s="50"/>
      <c r="J14" s="50"/>
      <c r="K14" s="50"/>
      <c r="L14" s="50"/>
      <c r="M14" s="50"/>
      <c r="N14" s="50"/>
      <c r="O14" s="50"/>
      <c r="P14" s="50"/>
      <c r="Q14" s="50"/>
      <c r="R14" s="50"/>
      <c r="S14" s="50"/>
      <c r="T14" s="50"/>
      <c r="U14" s="55"/>
      <c r="V14" s="55"/>
      <c r="W14" s="50"/>
      <c r="X14" s="50"/>
      <c r="Y14" s="50"/>
      <c r="Z14" s="50"/>
      <c r="AA14" s="50"/>
      <c r="AB14" s="50"/>
      <c r="AC14" s="50"/>
      <c r="AD14" s="50"/>
      <c r="AE14" s="50"/>
      <c r="AF14" s="50"/>
      <c r="AG14" s="50"/>
      <c r="AH14" s="50"/>
      <c r="AI14" s="50"/>
      <c r="AJ14" s="50"/>
      <c r="AK14" s="50"/>
      <c r="AL14" s="50"/>
      <c r="AM14" s="50"/>
      <c r="AN14" s="50"/>
      <c r="AO14" s="50"/>
      <c r="AP14" s="50"/>
      <c r="AQ14" s="50"/>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0"/>
      <c r="BR14" s="50"/>
      <c r="BS14" s="50"/>
    </row>
    <row r="15" spans="1:71" s="45" customFormat="1" ht="30" customHeight="1" thickBot="1" x14ac:dyDescent="0.25">
      <c r="A15" s="13"/>
      <c r="B15" s="51" t="s">
        <v>58</v>
      </c>
      <c r="C15" s="52" t="s">
        <v>44</v>
      </c>
      <c r="D15" s="53">
        <v>1</v>
      </c>
      <c r="E15" s="54">
        <f>F13</f>
        <v>46038</v>
      </c>
      <c r="F15" s="54">
        <f>F14</f>
        <v>46048</v>
      </c>
      <c r="G15" s="17"/>
      <c r="H15" s="5">
        <f t="shared" si="11"/>
        <v>11</v>
      </c>
      <c r="I15" s="50"/>
      <c r="J15" s="50"/>
      <c r="K15" s="50"/>
      <c r="L15" s="50"/>
      <c r="M15" s="50"/>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0"/>
      <c r="BR15" s="50"/>
      <c r="BS15" s="50"/>
    </row>
    <row r="16" spans="1:71" s="45" customFormat="1" ht="30" customHeight="1" thickBot="1" x14ac:dyDescent="0.25">
      <c r="A16" s="13"/>
      <c r="B16" s="51" t="s">
        <v>60</v>
      </c>
      <c r="C16" s="52" t="s">
        <v>44</v>
      </c>
      <c r="D16" s="53">
        <v>1</v>
      </c>
      <c r="E16" s="54">
        <f>F15</f>
        <v>46048</v>
      </c>
      <c r="F16" s="54">
        <f>E16</f>
        <v>46048</v>
      </c>
      <c r="G16" s="17"/>
      <c r="H16" s="5">
        <f t="shared" si="11"/>
        <v>1</v>
      </c>
      <c r="I16" s="50"/>
      <c r="J16" s="50"/>
      <c r="K16" s="50"/>
      <c r="L16" s="50"/>
      <c r="M16" s="50"/>
      <c r="N16" s="50"/>
      <c r="O16" s="50"/>
      <c r="P16" s="50"/>
      <c r="Q16" s="50"/>
      <c r="R16" s="50"/>
      <c r="S16" s="50"/>
      <c r="T16" s="50"/>
      <c r="U16" s="50"/>
      <c r="V16" s="50"/>
      <c r="W16" s="50"/>
      <c r="X16" s="50"/>
      <c r="Y16" s="55"/>
      <c r="Z16" s="50"/>
      <c r="AA16" s="50"/>
      <c r="AB16" s="50"/>
      <c r="AC16" s="50"/>
      <c r="AD16" s="50"/>
      <c r="AE16" s="50"/>
      <c r="AF16" s="50"/>
      <c r="AG16" s="50"/>
      <c r="AH16" s="50"/>
      <c r="AI16" s="50"/>
      <c r="AJ16" s="50"/>
      <c r="AK16" s="50"/>
      <c r="AL16" s="50"/>
      <c r="AM16" s="50"/>
      <c r="AN16" s="50"/>
      <c r="AO16" s="50"/>
      <c r="AP16" s="50"/>
      <c r="AQ16" s="50"/>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0"/>
      <c r="BR16" s="50"/>
      <c r="BS16" s="50"/>
    </row>
    <row r="17" spans="1:71" s="45" customFormat="1" ht="30" customHeight="1" thickBot="1" x14ac:dyDescent="0.25">
      <c r="A17" s="13"/>
      <c r="B17" s="51" t="s">
        <v>52</v>
      </c>
      <c r="C17" s="52" t="s">
        <v>44</v>
      </c>
      <c r="D17" s="53">
        <v>1</v>
      </c>
      <c r="E17" s="54">
        <f>E16</f>
        <v>46048</v>
      </c>
      <c r="F17" s="54">
        <f>E17</f>
        <v>46048</v>
      </c>
      <c r="G17" s="17"/>
      <c r="H17" s="5"/>
      <c r="I17" s="50"/>
      <c r="J17" s="50"/>
      <c r="K17" s="50"/>
      <c r="L17" s="50"/>
      <c r="M17" s="50"/>
      <c r="N17" s="50"/>
      <c r="O17" s="50"/>
      <c r="P17" s="50"/>
      <c r="Q17" s="50"/>
      <c r="R17" s="50"/>
      <c r="S17" s="50"/>
      <c r="T17" s="50"/>
      <c r="U17" s="50"/>
      <c r="V17" s="50"/>
      <c r="W17" s="50"/>
      <c r="X17" s="50"/>
      <c r="Y17" s="55"/>
      <c r="Z17" s="50"/>
      <c r="AA17" s="50"/>
      <c r="AB17" s="50"/>
      <c r="AC17" s="50"/>
      <c r="AD17" s="50"/>
      <c r="AE17" s="50"/>
      <c r="AF17" s="50"/>
      <c r="AG17" s="50"/>
      <c r="AH17" s="50"/>
      <c r="AI17" s="50"/>
      <c r="AJ17" s="50"/>
      <c r="AK17" s="50"/>
      <c r="AL17" s="50"/>
      <c r="AM17" s="50"/>
      <c r="AN17" s="50"/>
      <c r="AO17" s="50"/>
      <c r="AP17" s="50"/>
      <c r="AQ17" s="50"/>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0"/>
      <c r="BR17" s="50"/>
      <c r="BS17" s="50"/>
    </row>
    <row r="18" spans="1:71" s="45" customFormat="1" ht="30" customHeight="1" thickBot="1" x14ac:dyDescent="0.25">
      <c r="A18" s="13"/>
      <c r="B18" s="51" t="s">
        <v>67</v>
      </c>
      <c r="C18" s="52" t="s">
        <v>44</v>
      </c>
      <c r="D18" s="53">
        <v>1</v>
      </c>
      <c r="E18" s="54">
        <v>46057</v>
      </c>
      <c r="F18" s="54">
        <v>46061</v>
      </c>
      <c r="G18" s="17"/>
      <c r="H18" s="5"/>
      <c r="I18" s="50"/>
      <c r="J18" s="50"/>
      <c r="K18" s="50"/>
      <c r="L18" s="50"/>
      <c r="M18" s="50"/>
      <c r="N18" s="50"/>
      <c r="O18" s="50"/>
      <c r="P18" s="50"/>
      <c r="Q18" s="50"/>
      <c r="R18" s="50"/>
      <c r="S18" s="50"/>
      <c r="T18" s="50"/>
      <c r="U18" s="50"/>
      <c r="V18" s="50"/>
      <c r="W18" s="50"/>
      <c r="X18" s="50"/>
      <c r="Y18" s="55"/>
      <c r="Z18" s="50"/>
      <c r="AA18" s="50"/>
      <c r="AB18" s="50"/>
      <c r="AC18" s="50"/>
      <c r="AD18" s="50"/>
      <c r="AE18" s="50"/>
      <c r="AF18" s="50"/>
      <c r="AG18" s="50"/>
      <c r="AH18" s="50"/>
      <c r="AI18" s="50"/>
      <c r="AJ18" s="50"/>
      <c r="AK18" s="50"/>
      <c r="AL18" s="50"/>
      <c r="AM18" s="50"/>
      <c r="AN18" s="50"/>
      <c r="AO18" s="50"/>
      <c r="AP18" s="50"/>
      <c r="AQ18" s="50"/>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0"/>
      <c r="BR18" s="50"/>
      <c r="BS18" s="50"/>
    </row>
    <row r="19" spans="1:71" s="45" customFormat="1" ht="30" customHeight="1" thickBot="1" x14ac:dyDescent="0.25">
      <c r="A19" s="13"/>
      <c r="B19" s="51" t="s">
        <v>68</v>
      </c>
      <c r="C19" s="52" t="s">
        <v>44</v>
      </c>
      <c r="D19" s="53">
        <v>1</v>
      </c>
      <c r="E19" s="54">
        <v>46058</v>
      </c>
      <c r="F19" s="54">
        <v>46062</v>
      </c>
      <c r="G19" s="17"/>
      <c r="H19" s="5"/>
      <c r="I19" s="50"/>
      <c r="J19" s="50"/>
      <c r="K19" s="50"/>
      <c r="L19" s="50"/>
      <c r="M19" s="50"/>
      <c r="N19" s="50"/>
      <c r="O19" s="50"/>
      <c r="P19" s="50"/>
      <c r="Q19" s="50"/>
      <c r="R19" s="50"/>
      <c r="S19" s="50"/>
      <c r="T19" s="50"/>
      <c r="U19" s="50"/>
      <c r="V19" s="50"/>
      <c r="W19" s="50"/>
      <c r="X19" s="50"/>
      <c r="Y19" s="55"/>
      <c r="Z19" s="50"/>
      <c r="AA19" s="50"/>
      <c r="AB19" s="50"/>
      <c r="AC19" s="50"/>
      <c r="AD19" s="50"/>
      <c r="AE19" s="50"/>
      <c r="AF19" s="50"/>
      <c r="AG19" s="50"/>
      <c r="AH19" s="50"/>
      <c r="AI19" s="50"/>
      <c r="AJ19" s="50"/>
      <c r="AK19" s="50"/>
      <c r="AL19" s="50"/>
      <c r="AM19" s="50"/>
      <c r="AN19" s="50"/>
      <c r="AO19" s="50"/>
      <c r="AP19" s="50"/>
      <c r="AQ19" s="50"/>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0"/>
      <c r="BR19" s="50"/>
      <c r="BS19" s="50"/>
    </row>
    <row r="20" spans="1:71" s="45" customFormat="1" ht="30" customHeight="1" thickBot="1" x14ac:dyDescent="0.25">
      <c r="A20" s="13"/>
      <c r="B20" s="51"/>
      <c r="C20" s="52"/>
      <c r="D20" s="53"/>
      <c r="E20" s="54"/>
      <c r="F20" s="54"/>
      <c r="G20" s="17"/>
      <c r="H20" s="5"/>
      <c r="I20" s="50"/>
      <c r="J20" s="50"/>
      <c r="K20" s="50"/>
      <c r="L20" s="50"/>
      <c r="M20" s="50"/>
      <c r="N20" s="50"/>
      <c r="O20" s="50"/>
      <c r="P20" s="50"/>
      <c r="Q20" s="50"/>
      <c r="R20" s="50"/>
      <c r="S20" s="50"/>
      <c r="T20" s="50"/>
      <c r="U20" s="50"/>
      <c r="V20" s="50"/>
      <c r="W20" s="50"/>
      <c r="X20" s="50"/>
      <c r="Y20" s="55"/>
      <c r="Z20" s="50"/>
      <c r="AA20" s="50"/>
      <c r="AB20" s="50"/>
      <c r="AC20" s="50"/>
      <c r="AD20" s="50"/>
      <c r="AE20" s="50"/>
      <c r="AF20" s="50"/>
      <c r="AG20" s="50"/>
      <c r="AH20" s="50"/>
      <c r="AI20" s="50"/>
      <c r="AJ20" s="50"/>
      <c r="AK20" s="50"/>
      <c r="AL20" s="50"/>
      <c r="AM20" s="50"/>
      <c r="AN20" s="50"/>
      <c r="AO20" s="50"/>
      <c r="AP20" s="50"/>
      <c r="AQ20" s="50"/>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0"/>
      <c r="BR20" s="50"/>
      <c r="BS20" s="50"/>
    </row>
    <row r="21" spans="1:71" s="45" customFormat="1" ht="30" customHeight="1" thickBot="1" x14ac:dyDescent="0.25">
      <c r="A21" s="13"/>
      <c r="B21" s="51" t="s">
        <v>71</v>
      </c>
      <c r="C21" s="52" t="s">
        <v>44</v>
      </c>
      <c r="D21" s="53">
        <v>1</v>
      </c>
      <c r="E21" s="54">
        <v>46048</v>
      </c>
      <c r="F21" s="54">
        <v>46059</v>
      </c>
      <c r="G21" s="17"/>
      <c r="H21" s="5"/>
      <c r="I21" s="50"/>
      <c r="J21" s="50"/>
      <c r="K21" s="50"/>
      <c r="L21" s="50"/>
      <c r="M21" s="50"/>
      <c r="N21" s="50"/>
      <c r="O21" s="50"/>
      <c r="P21" s="50"/>
      <c r="Q21" s="50"/>
      <c r="R21" s="50"/>
      <c r="S21" s="50"/>
      <c r="T21" s="50"/>
      <c r="U21" s="50"/>
      <c r="V21" s="50"/>
      <c r="W21" s="50"/>
      <c r="X21" s="50"/>
      <c r="Y21" s="55"/>
      <c r="Z21" s="50"/>
      <c r="AA21" s="50"/>
      <c r="AB21" s="50"/>
      <c r="AC21" s="50"/>
      <c r="AD21" s="50"/>
      <c r="AE21" s="50"/>
      <c r="AF21" s="50"/>
      <c r="AG21" s="50"/>
      <c r="AH21" s="50"/>
      <c r="AI21" s="50"/>
      <c r="AJ21" s="50"/>
      <c r="AK21" s="50"/>
      <c r="AL21" s="50"/>
      <c r="AM21" s="50"/>
      <c r="AN21" s="50"/>
      <c r="AO21" s="50"/>
      <c r="AP21" s="50"/>
      <c r="AQ21" s="50"/>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0"/>
      <c r="BR21" s="50"/>
      <c r="BS21" s="50"/>
    </row>
    <row r="22" spans="1:71" s="45" customFormat="1" ht="30" customHeight="1" thickBot="1" x14ac:dyDescent="0.25">
      <c r="A22" s="13"/>
      <c r="B22" s="51" t="s">
        <v>31</v>
      </c>
      <c r="C22" s="52" t="s">
        <v>66</v>
      </c>
      <c r="D22" s="53">
        <v>1</v>
      </c>
      <c r="E22" s="54">
        <f>E23</f>
        <v>46061</v>
      </c>
      <c r="F22" s="54">
        <f>E22</f>
        <v>46061</v>
      </c>
      <c r="G22" s="17"/>
      <c r="H22" s="5"/>
      <c r="I22" s="50"/>
      <c r="J22" s="50"/>
      <c r="K22" s="50"/>
      <c r="L22" s="50"/>
      <c r="M22" s="50"/>
      <c r="N22" s="50"/>
      <c r="O22" s="50"/>
      <c r="P22" s="50"/>
      <c r="Q22" s="50"/>
      <c r="R22" s="50"/>
      <c r="S22" s="50"/>
      <c r="T22" s="50"/>
      <c r="U22" s="50"/>
      <c r="V22" s="50"/>
      <c r="W22" s="50"/>
      <c r="X22" s="50"/>
      <c r="Y22" s="55"/>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c r="BR22" s="50"/>
      <c r="BS22" s="50"/>
    </row>
    <row r="23" spans="1:71" s="45" customFormat="1" ht="30" customHeight="1" thickBot="1" x14ac:dyDescent="0.25">
      <c r="A23" s="13"/>
      <c r="B23" s="51" t="s">
        <v>29</v>
      </c>
      <c r="C23" s="52" t="s">
        <v>44</v>
      </c>
      <c r="D23" s="53">
        <v>1</v>
      </c>
      <c r="E23" s="54">
        <v>46061</v>
      </c>
      <c r="F23" s="54">
        <f>E23</f>
        <v>46061</v>
      </c>
      <c r="G23" s="17"/>
      <c r="H23" s="5"/>
      <c r="I23" s="50"/>
      <c r="J23" s="50"/>
      <c r="K23" s="50"/>
      <c r="L23" s="50"/>
      <c r="M23" s="50"/>
      <c r="N23" s="50"/>
      <c r="O23" s="50"/>
      <c r="P23" s="50"/>
      <c r="Q23" s="50"/>
      <c r="R23" s="50"/>
      <c r="S23" s="50"/>
      <c r="T23" s="50"/>
      <c r="U23" s="50"/>
      <c r="V23" s="50"/>
      <c r="W23" s="50"/>
      <c r="X23" s="50"/>
      <c r="Y23" s="55"/>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c r="BR23" s="50"/>
      <c r="BS23" s="50"/>
    </row>
    <row r="24" spans="1:71" s="45" customFormat="1" ht="30" customHeight="1" thickBot="1" x14ac:dyDescent="0.25">
      <c r="A24" s="13"/>
      <c r="B24" s="51" t="s">
        <v>30</v>
      </c>
      <c r="C24" s="52" t="s">
        <v>44</v>
      </c>
      <c r="D24" s="53">
        <v>1</v>
      </c>
      <c r="E24" s="54">
        <f>E23</f>
        <v>46061</v>
      </c>
      <c r="F24" s="54">
        <f>F23</f>
        <v>46061</v>
      </c>
      <c r="G24" s="17"/>
      <c r="H24" s="5"/>
      <c r="I24" s="50"/>
      <c r="J24" s="50"/>
      <c r="K24" s="50"/>
      <c r="L24" s="50"/>
      <c r="M24" s="50"/>
      <c r="N24" s="50"/>
      <c r="O24" s="50"/>
      <c r="P24" s="50"/>
      <c r="Q24" s="50"/>
      <c r="R24" s="50"/>
      <c r="S24" s="50"/>
      <c r="T24" s="50"/>
      <c r="U24" s="50"/>
      <c r="V24" s="50"/>
      <c r="W24" s="50"/>
      <c r="X24" s="50"/>
      <c r="Y24" s="55"/>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0"/>
      <c r="BR24" s="50"/>
      <c r="BS24" s="50"/>
    </row>
    <row r="25" spans="1:71" s="45" customFormat="1" ht="30" customHeight="1" thickBot="1" x14ac:dyDescent="0.25">
      <c r="A25" s="14"/>
      <c r="B25" s="56" t="s">
        <v>32</v>
      </c>
      <c r="C25" s="57"/>
      <c r="D25" s="58"/>
      <c r="E25" s="59"/>
      <c r="F25" s="60"/>
      <c r="G25" s="17"/>
      <c r="H25" s="5" t="str">
        <f t="shared" si="11"/>
        <v/>
      </c>
    </row>
    <row r="26" spans="1:71" s="45" customFormat="1" ht="30" customHeight="1" thickBot="1" x14ac:dyDescent="0.25">
      <c r="A26" s="14"/>
      <c r="B26" s="61" t="s">
        <v>69</v>
      </c>
      <c r="C26" s="62" t="s">
        <v>44</v>
      </c>
      <c r="D26" s="53">
        <v>1</v>
      </c>
      <c r="E26" s="63">
        <v>46048</v>
      </c>
      <c r="F26" s="63">
        <f>E26+8</f>
        <v>46056</v>
      </c>
      <c r="G26" s="17"/>
      <c r="H26" s="5"/>
    </row>
    <row r="27" spans="1:71" s="45" customFormat="1" ht="30" customHeight="1" thickBot="1" x14ac:dyDescent="0.25">
      <c r="A27" s="14"/>
      <c r="B27" s="61" t="s">
        <v>70</v>
      </c>
      <c r="C27" s="62" t="s">
        <v>44</v>
      </c>
      <c r="D27" s="53">
        <v>1</v>
      </c>
      <c r="E27" s="63">
        <v>46049</v>
      </c>
      <c r="F27" s="63">
        <f>E27+8</f>
        <v>46057</v>
      </c>
      <c r="G27" s="17"/>
      <c r="H27" s="5"/>
    </row>
    <row r="28" spans="1:71" s="45" customFormat="1" ht="30" customHeight="1" thickBot="1" x14ac:dyDescent="0.25">
      <c r="A28" s="14"/>
      <c r="B28" s="61" t="s">
        <v>61</v>
      </c>
      <c r="C28" s="62" t="s">
        <v>44</v>
      </c>
      <c r="D28" s="53">
        <v>1</v>
      </c>
      <c r="E28" s="63">
        <f>E47</f>
        <v>46048</v>
      </c>
      <c r="F28" s="63">
        <f>E28+8</f>
        <v>46056</v>
      </c>
      <c r="G28" s="17"/>
      <c r="H28" s="5">
        <f t="shared" si="11"/>
        <v>9</v>
      </c>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0"/>
      <c r="BR28" s="50"/>
      <c r="BS28" s="50"/>
    </row>
    <row r="29" spans="1:71" s="45" customFormat="1" ht="30" customHeight="1" thickBot="1" x14ac:dyDescent="0.25">
      <c r="A29" s="14"/>
      <c r="B29" s="61" t="s">
        <v>72</v>
      </c>
      <c r="C29" s="62" t="s">
        <v>44</v>
      </c>
      <c r="D29" s="53">
        <v>1</v>
      </c>
      <c r="E29" s="63" t="s">
        <v>73</v>
      </c>
      <c r="F29" s="63">
        <v>46058</v>
      </c>
      <c r="G29" s="17"/>
      <c r="H29" s="5"/>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0"/>
      <c r="BR29" s="50"/>
      <c r="BS29" s="50"/>
    </row>
    <row r="30" spans="1:71" s="45" customFormat="1" ht="30" customHeight="1" thickBot="1" x14ac:dyDescent="0.25">
      <c r="A30" s="13"/>
      <c r="B30" s="61" t="s">
        <v>62</v>
      </c>
      <c r="C30" s="62" t="s">
        <v>44</v>
      </c>
      <c r="D30" s="53">
        <v>1</v>
      </c>
      <c r="E30" s="63">
        <f>E48-3</f>
        <v>46049</v>
      </c>
      <c r="F30" s="63">
        <f>E30+9</f>
        <v>46058</v>
      </c>
      <c r="G30" s="17"/>
      <c r="H30" s="5">
        <f t="shared" si="11"/>
        <v>10</v>
      </c>
      <c r="I30" s="50"/>
      <c r="J30" s="50"/>
      <c r="K30" s="50"/>
      <c r="L30" s="50"/>
      <c r="M30" s="50"/>
      <c r="N30" s="50"/>
      <c r="O30" s="50"/>
      <c r="P30" s="50"/>
      <c r="Q30" s="50"/>
      <c r="R30" s="50"/>
      <c r="S30" s="50"/>
      <c r="T30" s="50"/>
      <c r="U30" s="55"/>
      <c r="V30" s="55"/>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0"/>
      <c r="BR30" s="50"/>
      <c r="BS30" s="50"/>
    </row>
    <row r="31" spans="1:71" s="45" customFormat="1" ht="30" customHeight="1" thickBot="1" x14ac:dyDescent="0.25">
      <c r="A31" s="13"/>
      <c r="B31" s="61" t="s">
        <v>63</v>
      </c>
      <c r="C31" s="62" t="s">
        <v>44</v>
      </c>
      <c r="D31" s="53">
        <v>0.6</v>
      </c>
      <c r="E31" s="63">
        <f>E47</f>
        <v>46048</v>
      </c>
      <c r="F31" s="63">
        <f>E31+20</f>
        <v>46068</v>
      </c>
      <c r="G31" s="17"/>
      <c r="H31" s="5"/>
      <c r="I31" s="50"/>
      <c r="J31" s="50"/>
      <c r="K31" s="50"/>
      <c r="L31" s="50"/>
      <c r="M31" s="50"/>
      <c r="N31" s="50"/>
      <c r="O31" s="50"/>
      <c r="P31" s="50"/>
      <c r="Q31" s="50"/>
      <c r="R31" s="50"/>
      <c r="S31" s="50"/>
      <c r="T31" s="50"/>
      <c r="U31" s="50"/>
      <c r="V31" s="50"/>
      <c r="W31" s="50"/>
      <c r="X31" s="50"/>
      <c r="Y31" s="55"/>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0"/>
      <c r="BR31" s="50"/>
      <c r="BS31" s="50"/>
    </row>
    <row r="32" spans="1:71" s="45" customFormat="1" ht="30" customHeight="1" thickBot="1" x14ac:dyDescent="0.25">
      <c r="A32" s="13"/>
      <c r="B32" s="61" t="s">
        <v>64</v>
      </c>
      <c r="C32" s="62" t="s">
        <v>44</v>
      </c>
      <c r="D32" s="53">
        <v>0.9</v>
      </c>
      <c r="E32" s="63">
        <f>E31</f>
        <v>46048</v>
      </c>
      <c r="F32" s="63">
        <f>E32+14</f>
        <v>46062</v>
      </c>
      <c r="G32" s="17"/>
      <c r="H32" s="5"/>
      <c r="I32" s="50"/>
      <c r="J32" s="50"/>
      <c r="K32" s="50"/>
      <c r="L32" s="50"/>
      <c r="M32" s="50"/>
      <c r="N32" s="50"/>
      <c r="O32" s="50"/>
      <c r="P32" s="50"/>
      <c r="Q32" s="50"/>
      <c r="R32" s="50"/>
      <c r="S32" s="50"/>
      <c r="T32" s="50"/>
      <c r="U32" s="50"/>
      <c r="V32" s="50"/>
      <c r="W32" s="50"/>
      <c r="X32" s="50"/>
      <c r="Y32" s="55"/>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0"/>
      <c r="BR32" s="50"/>
      <c r="BS32" s="50"/>
    </row>
    <row r="33" spans="1:71" s="45" customFormat="1" ht="30" customHeight="1" thickBot="1" x14ac:dyDescent="0.25">
      <c r="A33" s="13"/>
      <c r="B33" s="61" t="s">
        <v>65</v>
      </c>
      <c r="C33" s="62" t="s">
        <v>44</v>
      </c>
      <c r="D33" s="53">
        <v>1</v>
      </c>
      <c r="E33" s="63">
        <f>F30+2</f>
        <v>46060</v>
      </c>
      <c r="F33" s="63">
        <f>E33+1</f>
        <v>46061</v>
      </c>
      <c r="G33" s="17"/>
      <c r="H33" s="5">
        <f t="shared" si="11"/>
        <v>2</v>
      </c>
      <c r="I33" s="50"/>
      <c r="J33" s="50"/>
      <c r="K33" s="50"/>
      <c r="L33" s="50"/>
      <c r="M33" s="50"/>
      <c r="N33" s="50"/>
      <c r="O33" s="50"/>
      <c r="P33" s="50"/>
      <c r="Q33" s="50"/>
      <c r="R33" s="50"/>
      <c r="S33" s="50"/>
      <c r="T33" s="50"/>
      <c r="U33" s="50"/>
      <c r="V33" s="50"/>
      <c r="W33" s="50"/>
      <c r="X33" s="50"/>
      <c r="Y33" s="55"/>
      <c r="Z33" s="50"/>
      <c r="AA33" s="50"/>
      <c r="AB33" s="50"/>
      <c r="AC33" s="50"/>
      <c r="AD33" s="50"/>
      <c r="AE33" s="50"/>
      <c r="AF33" s="50"/>
      <c r="AG33" s="50"/>
      <c r="AH33" s="50"/>
      <c r="AI33" s="50"/>
      <c r="AJ33" s="50"/>
      <c r="AK33" s="50"/>
      <c r="AL33" s="50"/>
      <c r="AM33" s="50"/>
      <c r="AN33" s="50"/>
      <c r="AO33" s="50"/>
      <c r="AP33" s="50"/>
      <c r="AQ33" s="50"/>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0"/>
      <c r="BR33" s="50"/>
      <c r="BS33" s="50"/>
    </row>
    <row r="34" spans="1:71" s="45" customFormat="1" ht="30" customHeight="1" thickBot="1" x14ac:dyDescent="0.25">
      <c r="A34" s="13"/>
      <c r="B34" s="61"/>
      <c r="C34" s="62"/>
      <c r="D34" s="53"/>
      <c r="E34" s="63"/>
      <c r="F34" s="63"/>
      <c r="G34" s="17"/>
      <c r="H34" s="5"/>
      <c r="I34" s="50"/>
      <c r="J34" s="50"/>
      <c r="K34" s="50"/>
      <c r="L34" s="50"/>
      <c r="M34" s="50"/>
      <c r="N34" s="50"/>
      <c r="O34" s="50"/>
      <c r="P34" s="50"/>
      <c r="Q34" s="50"/>
      <c r="R34" s="50"/>
      <c r="S34" s="50"/>
      <c r="T34" s="50"/>
      <c r="U34" s="50"/>
      <c r="V34" s="50"/>
      <c r="W34" s="50"/>
      <c r="X34" s="50"/>
      <c r="Y34" s="55"/>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0"/>
      <c r="BR34" s="50"/>
      <c r="BS34" s="50"/>
    </row>
    <row r="35" spans="1:71" s="45" customFormat="1" ht="30" customHeight="1" thickBot="1" x14ac:dyDescent="0.25">
      <c r="A35" s="13"/>
      <c r="B35" s="61" t="s">
        <v>45</v>
      </c>
      <c r="C35" s="62" t="s">
        <v>42</v>
      </c>
      <c r="D35" s="53">
        <v>1</v>
      </c>
      <c r="E35" s="63">
        <v>46062</v>
      </c>
      <c r="F35" s="63">
        <f>E35</f>
        <v>46062</v>
      </c>
      <c r="G35" s="17"/>
      <c r="H35" s="5"/>
      <c r="I35" s="50"/>
      <c r="J35" s="50"/>
      <c r="K35" s="50"/>
      <c r="L35" s="50"/>
      <c r="M35" s="50"/>
      <c r="N35" s="50"/>
      <c r="O35" s="50"/>
      <c r="P35" s="50"/>
      <c r="Q35" s="50"/>
      <c r="R35" s="50"/>
      <c r="S35" s="50"/>
      <c r="T35" s="50"/>
      <c r="U35" s="50"/>
      <c r="V35" s="50"/>
      <c r="W35" s="50"/>
      <c r="X35" s="50"/>
      <c r="Y35" s="55"/>
      <c r="Z35" s="50"/>
      <c r="AA35" s="50"/>
      <c r="AB35" s="50"/>
      <c r="AC35" s="50"/>
      <c r="AD35" s="50"/>
      <c r="AE35" s="50"/>
      <c r="AF35" s="50"/>
      <c r="AG35" s="50"/>
      <c r="AH35" s="50"/>
      <c r="AI35" s="50"/>
      <c r="AJ35" s="50"/>
      <c r="AK35" s="50"/>
      <c r="AL35" s="50"/>
      <c r="AM35" s="50"/>
      <c r="AN35" s="50"/>
      <c r="AO35" s="50"/>
      <c r="AP35" s="50"/>
      <c r="AQ35" s="50"/>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0"/>
      <c r="BR35" s="50"/>
      <c r="BS35" s="50"/>
    </row>
    <row r="36" spans="1:71" s="45" customFormat="1" ht="30" customHeight="1" thickBot="1" x14ac:dyDescent="0.25">
      <c r="A36" s="13"/>
      <c r="B36" s="61" t="s">
        <v>33</v>
      </c>
      <c r="C36" s="62" t="s">
        <v>41</v>
      </c>
      <c r="D36" s="53">
        <v>1</v>
      </c>
      <c r="E36" s="63">
        <f>F35+2</f>
        <v>46064</v>
      </c>
      <c r="F36" s="63">
        <f>E36</f>
        <v>46064</v>
      </c>
      <c r="G36" s="17"/>
      <c r="H36" s="5">
        <f t="shared" si="11"/>
        <v>1</v>
      </c>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0"/>
      <c r="BR36" s="50"/>
      <c r="BS36" s="50"/>
    </row>
    <row r="37" spans="1:71" s="45" customFormat="1" ht="30" customHeight="1" thickBot="1" x14ac:dyDescent="0.25">
      <c r="A37" s="13"/>
      <c r="B37" s="61" t="s">
        <v>34</v>
      </c>
      <c r="C37" s="62" t="s">
        <v>41</v>
      </c>
      <c r="D37" s="53">
        <v>1</v>
      </c>
      <c r="E37" s="63">
        <f>F36</f>
        <v>46064</v>
      </c>
      <c r="F37" s="63">
        <f>E37+2</f>
        <v>46066</v>
      </c>
      <c r="G37" s="17"/>
      <c r="H37" s="5"/>
      <c r="I37" s="50"/>
      <c r="J37" s="50"/>
      <c r="K37" s="50"/>
      <c r="L37" s="50"/>
      <c r="M37" s="50"/>
      <c r="N37" s="50"/>
      <c r="O37" s="50"/>
      <c r="P37" s="50"/>
      <c r="Q37" s="50"/>
      <c r="R37" s="50"/>
      <c r="S37" s="50"/>
      <c r="T37" s="50"/>
      <c r="U37" s="50"/>
      <c r="V37" s="50"/>
      <c r="W37" s="50"/>
      <c r="X37" s="50"/>
      <c r="Y37" s="55"/>
      <c r="Z37" s="50"/>
      <c r="AA37" s="50"/>
      <c r="AB37" s="50"/>
      <c r="AC37" s="50"/>
      <c r="AD37" s="50"/>
      <c r="AE37" s="50"/>
      <c r="AF37" s="50"/>
      <c r="AG37" s="50"/>
      <c r="AH37" s="50"/>
      <c r="AI37" s="50"/>
      <c r="AJ37" s="50"/>
      <c r="AK37" s="50"/>
      <c r="AL37" s="50"/>
      <c r="AM37" s="50"/>
      <c r="AN37" s="50"/>
      <c r="AO37" s="50"/>
      <c r="AP37" s="50"/>
      <c r="AQ37" s="5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0"/>
      <c r="BR37" s="50"/>
      <c r="BS37" s="50"/>
    </row>
    <row r="38" spans="1:71" s="45" customFormat="1" ht="30" customHeight="1" thickBot="1" x14ac:dyDescent="0.25">
      <c r="A38" s="13"/>
      <c r="B38" s="61" t="s">
        <v>35</v>
      </c>
      <c r="C38" s="62" t="s">
        <v>41</v>
      </c>
      <c r="D38" s="53">
        <v>1</v>
      </c>
      <c r="E38" s="63">
        <f>F37</f>
        <v>46066</v>
      </c>
      <c r="F38" s="63">
        <f>E38+2</f>
        <v>46068</v>
      </c>
      <c r="G38" s="17"/>
      <c r="H38" s="5"/>
      <c r="I38" s="50"/>
      <c r="J38" s="50"/>
      <c r="K38" s="50"/>
      <c r="L38" s="50"/>
      <c r="M38" s="50"/>
      <c r="N38" s="50"/>
      <c r="O38" s="50"/>
      <c r="P38" s="50"/>
      <c r="Q38" s="50"/>
      <c r="R38" s="50"/>
      <c r="S38" s="50"/>
      <c r="T38" s="50"/>
      <c r="U38" s="50"/>
      <c r="V38" s="50"/>
      <c r="W38" s="50"/>
      <c r="X38" s="50"/>
      <c r="Y38" s="55"/>
      <c r="Z38" s="50"/>
      <c r="AA38" s="50"/>
      <c r="AB38" s="50"/>
      <c r="AC38" s="50"/>
      <c r="AD38" s="50"/>
      <c r="AE38" s="50"/>
      <c r="AF38" s="50"/>
      <c r="AG38" s="50"/>
      <c r="AH38" s="50"/>
      <c r="AI38" s="50"/>
      <c r="AJ38" s="50"/>
      <c r="AK38" s="50"/>
      <c r="AL38" s="50"/>
      <c r="AM38" s="50"/>
      <c r="AN38" s="50"/>
      <c r="AO38" s="50"/>
      <c r="AP38" s="50"/>
      <c r="AQ38" s="50"/>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0"/>
      <c r="BR38" s="50"/>
      <c r="BS38" s="50"/>
    </row>
    <row r="39" spans="1:71" s="45" customFormat="1" ht="30" customHeight="1" thickBot="1" x14ac:dyDescent="0.25">
      <c r="A39" s="13"/>
      <c r="B39" s="61" t="s">
        <v>36</v>
      </c>
      <c r="C39" s="62" t="s">
        <v>41</v>
      </c>
      <c r="D39" s="53">
        <v>1</v>
      </c>
      <c r="E39" s="63">
        <f>F37</f>
        <v>46066</v>
      </c>
      <c r="F39" s="63">
        <f>E39+7</f>
        <v>46073</v>
      </c>
      <c r="G39" s="17"/>
      <c r="H39" s="5"/>
      <c r="I39" s="50"/>
      <c r="J39" s="50"/>
      <c r="K39" s="50"/>
      <c r="L39" s="50"/>
      <c r="M39" s="50"/>
      <c r="N39" s="50"/>
      <c r="O39" s="50"/>
      <c r="P39" s="50"/>
      <c r="Q39" s="50"/>
      <c r="R39" s="50"/>
      <c r="S39" s="50"/>
      <c r="T39" s="50"/>
      <c r="U39" s="50"/>
      <c r="V39" s="50"/>
      <c r="W39" s="50"/>
      <c r="X39" s="50"/>
      <c r="Y39" s="55"/>
      <c r="Z39" s="50"/>
      <c r="AA39" s="50"/>
      <c r="AB39" s="50"/>
      <c r="AC39" s="50"/>
      <c r="AD39" s="50"/>
      <c r="AE39" s="50"/>
      <c r="AF39" s="50"/>
      <c r="AG39" s="50"/>
      <c r="AH39" s="50"/>
      <c r="AI39" s="50"/>
      <c r="AJ39" s="50"/>
      <c r="AK39" s="50"/>
      <c r="AL39" s="50"/>
      <c r="AM39" s="50"/>
      <c r="AN39" s="50"/>
      <c r="AO39" s="50"/>
      <c r="AP39" s="50"/>
      <c r="AQ39" s="50"/>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0"/>
      <c r="BR39" s="50"/>
      <c r="BS39" s="50"/>
    </row>
    <row r="40" spans="1:71" s="45" customFormat="1" ht="30" customHeight="1" thickBot="1" x14ac:dyDescent="0.25">
      <c r="A40" s="13"/>
      <c r="B40" s="61" t="s">
        <v>37</v>
      </c>
      <c r="C40" s="62" t="s">
        <v>41</v>
      </c>
      <c r="D40" s="53">
        <v>1</v>
      </c>
      <c r="E40" s="63">
        <f>E39+3</f>
        <v>46069</v>
      </c>
      <c r="F40" s="63">
        <f>F39</f>
        <v>46073</v>
      </c>
      <c r="G40" s="17"/>
      <c r="H40" s="5"/>
      <c r="I40" s="50"/>
      <c r="J40" s="50"/>
      <c r="K40" s="50"/>
      <c r="L40" s="50"/>
      <c r="M40" s="50"/>
      <c r="N40" s="50"/>
      <c r="O40" s="50"/>
      <c r="P40" s="50"/>
      <c r="Q40" s="50"/>
      <c r="R40" s="50"/>
      <c r="S40" s="50"/>
      <c r="T40" s="50"/>
      <c r="U40" s="50"/>
      <c r="V40" s="50"/>
      <c r="W40" s="50"/>
      <c r="X40" s="50"/>
      <c r="Y40" s="55"/>
      <c r="Z40" s="50"/>
      <c r="AA40" s="50"/>
      <c r="AB40" s="50"/>
      <c r="AC40" s="50"/>
      <c r="AD40" s="50"/>
      <c r="AE40" s="50"/>
      <c r="AF40" s="50"/>
      <c r="AG40" s="50"/>
      <c r="AH40" s="50"/>
      <c r="AI40" s="50"/>
      <c r="AJ40" s="50"/>
      <c r="AK40" s="50"/>
      <c r="AL40" s="50"/>
      <c r="AM40" s="50"/>
      <c r="AN40" s="50"/>
      <c r="AO40" s="50"/>
      <c r="AP40" s="50"/>
      <c r="AQ40" s="50"/>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0"/>
      <c r="BR40" s="50"/>
      <c r="BS40" s="50"/>
    </row>
    <row r="41" spans="1:71" s="45" customFormat="1" ht="30" customHeight="1" thickBot="1" x14ac:dyDescent="0.25">
      <c r="A41" s="13"/>
      <c r="B41" s="61" t="s">
        <v>39</v>
      </c>
      <c r="C41" s="62" t="s">
        <v>41</v>
      </c>
      <c r="D41" s="53">
        <v>1</v>
      </c>
      <c r="E41" s="63">
        <f>F39-2</f>
        <v>46071</v>
      </c>
      <c r="F41" s="63">
        <f>E41+4</f>
        <v>46075</v>
      </c>
      <c r="G41" s="17"/>
      <c r="H41" s="5"/>
      <c r="I41" s="50"/>
      <c r="J41" s="50"/>
      <c r="K41" s="50"/>
      <c r="L41" s="50"/>
      <c r="M41" s="50"/>
      <c r="N41" s="50"/>
      <c r="O41" s="50"/>
      <c r="P41" s="50"/>
      <c r="Q41" s="50"/>
      <c r="R41" s="50"/>
      <c r="S41" s="50"/>
      <c r="T41" s="50"/>
      <c r="U41" s="50"/>
      <c r="V41" s="50"/>
      <c r="W41" s="50"/>
      <c r="X41" s="50"/>
      <c r="Y41" s="55"/>
      <c r="Z41" s="50"/>
      <c r="AA41" s="50"/>
      <c r="AB41" s="50"/>
      <c r="AC41" s="50"/>
      <c r="AD41" s="50"/>
      <c r="AE41" s="50"/>
      <c r="AF41" s="50"/>
      <c r="AG41" s="50"/>
      <c r="AH41" s="50"/>
      <c r="AI41" s="50"/>
      <c r="AJ41" s="50"/>
      <c r="AK41" s="50"/>
      <c r="AL41" s="50"/>
      <c r="AM41" s="50"/>
      <c r="AN41" s="50"/>
      <c r="AO41" s="50"/>
      <c r="AP41" s="50"/>
      <c r="AQ41" s="50"/>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0"/>
      <c r="BR41" s="50"/>
      <c r="BS41" s="50"/>
    </row>
    <row r="42" spans="1:71" s="45" customFormat="1" ht="30" customHeight="1" thickBot="1" x14ac:dyDescent="0.25">
      <c r="A42" s="13"/>
      <c r="B42" s="61" t="s">
        <v>38</v>
      </c>
      <c r="C42" s="62" t="s">
        <v>41</v>
      </c>
      <c r="D42" s="53">
        <v>1</v>
      </c>
      <c r="E42" s="63">
        <f>E41+1</f>
        <v>46072</v>
      </c>
      <c r="F42" s="63">
        <f>F41</f>
        <v>46075</v>
      </c>
      <c r="G42" s="17"/>
      <c r="H42" s="5"/>
      <c r="I42" s="50"/>
      <c r="J42" s="50"/>
      <c r="K42" s="50"/>
      <c r="L42" s="50"/>
      <c r="M42" s="50"/>
      <c r="N42" s="50"/>
      <c r="O42" s="50"/>
      <c r="P42" s="50"/>
      <c r="Q42" s="50"/>
      <c r="R42" s="50"/>
      <c r="S42" s="50"/>
      <c r="T42" s="50"/>
      <c r="U42" s="50"/>
      <c r="V42" s="50"/>
      <c r="W42" s="50"/>
      <c r="X42" s="50"/>
      <c r="Y42" s="55"/>
      <c r="Z42" s="50"/>
      <c r="AA42" s="50"/>
      <c r="AB42" s="50"/>
      <c r="AC42" s="50"/>
      <c r="AD42" s="50"/>
      <c r="AE42" s="50"/>
      <c r="AF42" s="50"/>
      <c r="AG42" s="50"/>
      <c r="AH42" s="50"/>
      <c r="AI42" s="50"/>
      <c r="AJ42" s="50"/>
      <c r="AK42" s="50"/>
      <c r="AL42" s="50"/>
      <c r="AM42" s="50"/>
      <c r="AN42" s="50"/>
      <c r="AO42" s="50"/>
      <c r="AP42" s="50"/>
      <c r="AQ42" s="50"/>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0"/>
      <c r="BR42" s="50"/>
      <c r="BS42" s="50"/>
    </row>
    <row r="43" spans="1:71" s="45" customFormat="1" ht="30" customHeight="1" thickBot="1" x14ac:dyDescent="0.25">
      <c r="A43" s="13"/>
      <c r="B43" s="61" t="s">
        <v>46</v>
      </c>
      <c r="C43" s="62" t="s">
        <v>41</v>
      </c>
      <c r="D43" s="53">
        <v>1</v>
      </c>
      <c r="E43" s="63">
        <f>E47</f>
        <v>46048</v>
      </c>
      <c r="F43" s="63">
        <f>E43+7</f>
        <v>46055</v>
      </c>
      <c r="G43" s="17"/>
      <c r="H43" s="5"/>
      <c r="I43" s="50"/>
      <c r="J43" s="50"/>
      <c r="K43" s="50"/>
      <c r="L43" s="50"/>
      <c r="M43" s="50"/>
      <c r="N43" s="50"/>
      <c r="O43" s="50"/>
      <c r="P43" s="50"/>
      <c r="Q43" s="50"/>
      <c r="R43" s="50"/>
      <c r="S43" s="50"/>
      <c r="T43" s="50"/>
      <c r="U43" s="50"/>
      <c r="V43" s="50"/>
      <c r="W43" s="50"/>
      <c r="X43" s="50"/>
      <c r="Y43" s="55"/>
      <c r="Z43" s="50"/>
      <c r="AA43" s="50"/>
      <c r="AB43" s="50"/>
      <c r="AC43" s="50"/>
      <c r="AD43" s="50"/>
      <c r="AE43" s="50"/>
      <c r="AF43" s="50"/>
      <c r="AG43" s="50"/>
      <c r="AH43" s="50"/>
      <c r="AI43" s="50"/>
      <c r="AJ43" s="50"/>
      <c r="AK43" s="50"/>
      <c r="AL43" s="50"/>
      <c r="AM43" s="50"/>
      <c r="AN43" s="50"/>
      <c r="AO43" s="50"/>
      <c r="AP43" s="50"/>
      <c r="AQ43" s="50"/>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0"/>
      <c r="BR43" s="50"/>
      <c r="BS43" s="50"/>
    </row>
    <row r="44" spans="1:71" s="45" customFormat="1" ht="30" customHeight="1" thickBot="1" x14ac:dyDescent="0.25">
      <c r="A44" s="13"/>
      <c r="B44" s="61" t="s">
        <v>43</v>
      </c>
      <c r="C44" s="62" t="s">
        <v>41</v>
      </c>
      <c r="D44" s="53">
        <v>1</v>
      </c>
      <c r="E44" s="63">
        <f>E47+5</f>
        <v>46053</v>
      </c>
      <c r="F44" s="63">
        <f>E45+1</f>
        <v>46062</v>
      </c>
      <c r="G44" s="17"/>
      <c r="H44" s="5"/>
      <c r="I44" s="50"/>
      <c r="J44" s="50"/>
      <c r="K44" s="50"/>
      <c r="L44" s="50"/>
      <c r="M44" s="50"/>
      <c r="N44" s="50"/>
      <c r="O44" s="50"/>
      <c r="P44" s="50"/>
      <c r="Q44" s="50"/>
      <c r="R44" s="50"/>
      <c r="S44" s="50"/>
      <c r="T44" s="50"/>
      <c r="U44" s="50"/>
      <c r="V44" s="50"/>
      <c r="W44" s="50"/>
      <c r="X44" s="50"/>
      <c r="Y44" s="55"/>
      <c r="Z44" s="50"/>
      <c r="AA44" s="50"/>
      <c r="AB44" s="50"/>
      <c r="AC44" s="50"/>
      <c r="AD44" s="50"/>
      <c r="AE44" s="50"/>
      <c r="AF44" s="50"/>
      <c r="AG44" s="50"/>
      <c r="AH44" s="50"/>
      <c r="AI44" s="50"/>
      <c r="AJ44" s="50"/>
      <c r="AK44" s="50"/>
      <c r="AL44" s="50"/>
      <c r="AM44" s="50"/>
      <c r="AN44" s="50"/>
      <c r="AO44" s="50"/>
      <c r="AP44" s="50"/>
      <c r="AQ44" s="50"/>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0"/>
      <c r="BR44" s="50"/>
      <c r="BS44" s="50"/>
    </row>
    <row r="45" spans="1:71" s="45" customFormat="1" ht="30" customHeight="1" thickBot="1" x14ac:dyDescent="0.25">
      <c r="A45" s="13"/>
      <c r="B45" s="61" t="s">
        <v>40</v>
      </c>
      <c r="C45" s="62" t="s">
        <v>41</v>
      </c>
      <c r="D45" s="53">
        <v>1</v>
      </c>
      <c r="E45" s="63">
        <f>E44+8</f>
        <v>46061</v>
      </c>
      <c r="F45" s="63">
        <f>E45+3</f>
        <v>46064</v>
      </c>
      <c r="G45" s="17"/>
      <c r="H45" s="5">
        <f t="shared" si="11"/>
        <v>4</v>
      </c>
      <c r="I45" s="50"/>
      <c r="J45" s="50"/>
      <c r="K45" s="50"/>
      <c r="L45" s="50"/>
      <c r="M45" s="50"/>
      <c r="N45" s="50"/>
      <c r="O45" s="50"/>
      <c r="P45" s="50"/>
      <c r="Q45" s="50"/>
      <c r="R45" s="50"/>
      <c r="S45" s="50"/>
      <c r="T45" s="50"/>
      <c r="U45" s="50"/>
      <c r="V45" s="50"/>
      <c r="W45" s="50"/>
      <c r="X45" s="50"/>
      <c r="Y45" s="50"/>
      <c r="Z45" s="50"/>
      <c r="AA45" s="50"/>
      <c r="AB45" s="50"/>
      <c r="AC45" s="50"/>
      <c r="AD45" s="50"/>
      <c r="AE45" s="50"/>
      <c r="AF45" s="50"/>
      <c r="AG45" s="50"/>
      <c r="AH45" s="50"/>
      <c r="AI45" s="50"/>
      <c r="AJ45" s="50"/>
      <c r="AK45" s="50"/>
      <c r="AL45" s="50"/>
      <c r="AM45" s="50"/>
      <c r="AN45" s="50"/>
      <c r="AO45" s="50"/>
      <c r="AP45" s="50"/>
      <c r="AQ45" s="50"/>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0"/>
      <c r="BR45" s="50"/>
      <c r="BS45" s="50"/>
    </row>
    <row r="46" spans="1:71" s="45" customFormat="1" ht="30" customHeight="1" thickBot="1" x14ac:dyDescent="0.25">
      <c r="A46" s="13"/>
      <c r="B46" s="64" t="s">
        <v>47</v>
      </c>
      <c r="C46" s="65"/>
      <c r="D46" s="66"/>
      <c r="E46" s="67"/>
      <c r="F46" s="68"/>
      <c r="G46" s="17"/>
      <c r="H46" s="5" t="str">
        <f t="shared" si="11"/>
        <v/>
      </c>
      <c r="I46" s="69"/>
      <c r="J46" s="69"/>
      <c r="K46" s="69"/>
      <c r="L46" s="69"/>
      <c r="M46" s="69"/>
      <c r="N46" s="69"/>
      <c r="O46" s="69"/>
      <c r="P46" s="69"/>
      <c r="Q46" s="69"/>
      <c r="R46" s="69"/>
      <c r="S46" s="69"/>
      <c r="T46" s="69"/>
      <c r="U46" s="69"/>
      <c r="V46" s="69"/>
      <c r="W46" s="69"/>
      <c r="X46" s="69"/>
      <c r="Y46" s="69"/>
      <c r="Z46" s="69"/>
      <c r="AA46" s="69"/>
      <c r="AB46" s="69"/>
      <c r="AC46" s="69"/>
      <c r="AD46" s="69"/>
      <c r="AE46" s="69"/>
      <c r="AF46" s="69"/>
      <c r="AG46" s="69"/>
      <c r="AH46" s="69"/>
      <c r="AI46" s="69"/>
      <c r="AJ46" s="69"/>
      <c r="AK46" s="69"/>
      <c r="AL46" s="69"/>
      <c r="AM46" s="69"/>
      <c r="AN46" s="69"/>
      <c r="AO46" s="69"/>
      <c r="AP46" s="69"/>
      <c r="AQ46" s="69"/>
      <c r="AR46" s="69"/>
      <c r="AS46" s="69"/>
      <c r="AT46" s="69"/>
      <c r="AU46" s="69"/>
      <c r="AV46" s="69"/>
      <c r="AW46" s="69"/>
      <c r="AX46" s="69"/>
      <c r="AY46" s="69"/>
      <c r="AZ46" s="69"/>
      <c r="BA46" s="69"/>
      <c r="BB46" s="69"/>
      <c r="BC46" s="69"/>
      <c r="BD46" s="69"/>
      <c r="BE46" s="69"/>
      <c r="BF46" s="69"/>
      <c r="BG46" s="69"/>
      <c r="BH46" s="69"/>
      <c r="BI46" s="69"/>
      <c r="BJ46" s="69"/>
      <c r="BK46" s="69"/>
      <c r="BL46" s="69"/>
      <c r="BM46" s="69"/>
      <c r="BN46" s="69"/>
      <c r="BO46" s="69"/>
      <c r="BP46" s="69"/>
      <c r="BQ46" s="69"/>
      <c r="BR46" s="69"/>
      <c r="BS46" s="69"/>
    </row>
    <row r="47" spans="1:71" s="45" customFormat="1" ht="30" customHeight="1" thickBot="1" x14ac:dyDescent="0.25">
      <c r="A47" s="13"/>
      <c r="B47" s="70" t="s">
        <v>50</v>
      </c>
      <c r="C47" s="71" t="s">
        <v>48</v>
      </c>
      <c r="D47" s="53">
        <v>1</v>
      </c>
      <c r="E47" s="72">
        <v>46048</v>
      </c>
      <c r="F47" s="72">
        <v>46052</v>
      </c>
      <c r="G47" s="17"/>
      <c r="H47" s="5">
        <f t="shared" si="11"/>
        <v>5</v>
      </c>
      <c r="I47" s="50"/>
      <c r="J47" s="50"/>
      <c r="K47" s="50"/>
      <c r="L47" s="50"/>
      <c r="M47" s="50"/>
      <c r="N47" s="50"/>
      <c r="O47" s="50"/>
      <c r="P47" s="50"/>
      <c r="Q47" s="50"/>
      <c r="R47" s="50"/>
      <c r="S47" s="50"/>
      <c r="T47" s="50"/>
      <c r="U47" s="50"/>
      <c r="V47" s="50"/>
      <c r="W47" s="50"/>
      <c r="X47" s="50"/>
      <c r="Y47" s="50"/>
      <c r="Z47" s="50"/>
      <c r="AA47" s="50"/>
      <c r="AB47" s="50"/>
      <c r="AC47" s="50"/>
      <c r="AD47" s="50"/>
      <c r="AE47" s="50"/>
      <c r="AF47" s="50"/>
      <c r="AG47" s="50"/>
      <c r="AH47" s="50"/>
      <c r="AI47" s="50"/>
      <c r="AJ47" s="50"/>
      <c r="AK47" s="50"/>
      <c r="AL47" s="50"/>
      <c r="AM47" s="50"/>
      <c r="AN47" s="50"/>
      <c r="AO47" s="50"/>
      <c r="AP47" s="50"/>
      <c r="AQ47" s="50"/>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0"/>
      <c r="BR47" s="50"/>
      <c r="BS47" s="50"/>
    </row>
    <row r="48" spans="1:71" s="45" customFormat="1" ht="30" customHeight="1" thickBot="1" x14ac:dyDescent="0.25">
      <c r="A48" s="13"/>
      <c r="B48" s="70" t="s">
        <v>49</v>
      </c>
      <c r="C48" s="71" t="s">
        <v>42</v>
      </c>
      <c r="D48" s="53">
        <v>1</v>
      </c>
      <c r="E48" s="72">
        <v>46052</v>
      </c>
      <c r="F48" s="72">
        <f>E48</f>
        <v>46052</v>
      </c>
      <c r="G48" s="17"/>
      <c r="H48" s="5">
        <f t="shared" si="11"/>
        <v>1</v>
      </c>
      <c r="I48" s="50"/>
      <c r="J48" s="50"/>
      <c r="K48" s="50"/>
      <c r="L48" s="50"/>
      <c r="M48" s="50"/>
      <c r="N48" s="50"/>
      <c r="O48" s="50"/>
      <c r="P48" s="50"/>
      <c r="Q48" s="50"/>
      <c r="R48" s="50"/>
      <c r="S48" s="50"/>
      <c r="T48" s="50"/>
      <c r="U48" s="50"/>
      <c r="V48" s="50"/>
      <c r="W48" s="50"/>
      <c r="X48" s="50"/>
      <c r="Y48" s="50"/>
      <c r="Z48" s="50"/>
      <c r="AA48" s="50"/>
      <c r="AB48" s="50"/>
      <c r="AC48" s="50"/>
      <c r="AD48" s="50"/>
      <c r="AE48" s="50"/>
      <c r="AF48" s="50"/>
      <c r="AG48" s="50"/>
      <c r="AH48" s="50"/>
      <c r="AI48" s="50"/>
      <c r="AJ48" s="50"/>
      <c r="AK48" s="50"/>
      <c r="AL48" s="50"/>
      <c r="AM48" s="50"/>
      <c r="AN48" s="50"/>
      <c r="AO48" s="50"/>
      <c r="AP48" s="50"/>
      <c r="AQ48" s="50"/>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0"/>
      <c r="BR48" s="50"/>
      <c r="BS48" s="50"/>
    </row>
    <row r="49" spans="1:71" s="45" customFormat="1" ht="30" customHeight="1" thickBot="1" x14ac:dyDescent="0.25">
      <c r="A49" s="13"/>
      <c r="B49" s="70" t="s">
        <v>51</v>
      </c>
      <c r="C49" s="71" t="s">
        <v>42</v>
      </c>
      <c r="D49" s="53">
        <v>1</v>
      </c>
      <c r="E49" s="72">
        <v>46059</v>
      </c>
      <c r="F49" s="72">
        <v>46059</v>
      </c>
      <c r="G49" s="17"/>
      <c r="H49" s="5">
        <f t="shared" si="11"/>
        <v>1</v>
      </c>
      <c r="I49" s="44"/>
      <c r="J49" s="44"/>
      <c r="K49" s="44"/>
      <c r="L49" s="44"/>
      <c r="M49" s="44"/>
      <c r="N49" s="44"/>
      <c r="O49" s="44"/>
      <c r="P49" s="44"/>
      <c r="Q49" s="44"/>
      <c r="R49" s="44"/>
      <c r="S49" s="44"/>
      <c r="T49" s="44"/>
      <c r="U49" s="44"/>
      <c r="V49" s="44"/>
      <c r="W49" s="44"/>
      <c r="X49" s="44"/>
      <c r="Y49" s="44"/>
      <c r="Z49" s="44"/>
      <c r="AA49" s="44"/>
      <c r="AB49" s="44"/>
      <c r="AC49" s="44"/>
      <c r="AD49" s="44"/>
      <c r="AE49" s="44"/>
      <c r="AF49" s="44"/>
      <c r="AG49" s="44"/>
      <c r="AH49" s="44"/>
      <c r="AI49" s="44"/>
      <c r="AJ49" s="4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4"/>
      <c r="BJ49" s="44"/>
      <c r="BK49" s="44"/>
      <c r="BL49" s="44"/>
      <c r="BM49" s="44"/>
      <c r="BN49" s="44"/>
      <c r="BO49" s="44"/>
      <c r="BP49" s="44"/>
      <c r="BQ49" s="44"/>
      <c r="BR49" s="44"/>
      <c r="BS49" s="44"/>
    </row>
    <row r="50" spans="1:71" s="45" customFormat="1" ht="30" customHeight="1" thickBot="1" x14ac:dyDescent="0.25">
      <c r="A50" s="14"/>
      <c r="B50" s="73" t="s">
        <v>0</v>
      </c>
      <c r="C50" s="74"/>
      <c r="D50" s="75"/>
      <c r="E50" s="76"/>
      <c r="F50" s="77"/>
      <c r="G50" s="17"/>
      <c r="H50" s="6" t="str">
        <f t="shared" si="11"/>
        <v/>
      </c>
      <c r="I50" s="78"/>
      <c r="J50" s="78"/>
      <c r="K50" s="78"/>
      <c r="L50" s="78"/>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row>
    <row r="51" spans="1:71" ht="30" customHeight="1" x14ac:dyDescent="0.2">
      <c r="G51" s="3"/>
    </row>
    <row r="52" spans="1:71" ht="30" customHeight="1" x14ac:dyDescent="0.25">
      <c r="C52" s="16"/>
      <c r="F52" s="15"/>
    </row>
    <row r="53" spans="1:71" ht="30" customHeight="1" x14ac:dyDescent="0.2">
      <c r="C53" s="4"/>
    </row>
  </sheetData>
  <mergeCells count="19">
    <mergeCell ref="A5:A6"/>
    <mergeCell ref="B5:B6"/>
    <mergeCell ref="C5:C6"/>
    <mergeCell ref="D5:D6"/>
    <mergeCell ref="E5:E6"/>
    <mergeCell ref="F5:F6"/>
    <mergeCell ref="Q2:Z2"/>
    <mergeCell ref="Q1:Z1"/>
    <mergeCell ref="I1:O1"/>
    <mergeCell ref="I2:O2"/>
    <mergeCell ref="BM4:BS4"/>
    <mergeCell ref="BF4:BL4"/>
    <mergeCell ref="I4:O4"/>
    <mergeCell ref="P4:V4"/>
    <mergeCell ref="W4:AC4"/>
    <mergeCell ref="AD4:AJ4"/>
    <mergeCell ref="AK4:AQ4"/>
    <mergeCell ref="AR4:AX4"/>
    <mergeCell ref="AY4:BE4"/>
  </mergeCells>
  <conditionalFormatting sqref="D7:D50">
    <cfRule type="dataBar" priority="32">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9:BL24">
    <cfRule type="expression" dxfId="7" priority="16" stopIfTrue="1">
      <formula>AND(task_end&gt;=I$5,task_start&lt;J$5)</formula>
    </cfRule>
  </conditionalFormatting>
  <conditionalFormatting sqref="I4:BS48">
    <cfRule type="expression" dxfId="6" priority="10">
      <formula>AND(TODAY()&gt;=I$5, TODAY()&lt;J$5)</formula>
    </cfRule>
  </conditionalFormatting>
  <conditionalFormatting sqref="I9:BS24">
    <cfRule type="expression" dxfId="5" priority="6">
      <formula>AND(task_start&lt;=I$5,ROUNDDOWN((task_end-task_start+1)*task_progress,0)+task_start-1&gt;=I$5)</formula>
    </cfRule>
  </conditionalFormatting>
  <conditionalFormatting sqref="I28:BS45">
    <cfRule type="expression" dxfId="4" priority="13">
      <formula>AND(task_start&lt;=I$5,ROUNDDOWN((task_end-task_start+1)*task_progress,0)+task_start-1&gt;=I$5)</formula>
    </cfRule>
    <cfRule type="expression" dxfId="3" priority="14" stopIfTrue="1">
      <formula>AND(task_end&gt;=I$5,task_start&lt;J$5)</formula>
    </cfRule>
  </conditionalFormatting>
  <conditionalFormatting sqref="I47:BS48">
    <cfRule type="expression" dxfId="2" priority="45">
      <formula>AND(task_start&lt;=I$5,ROUNDDOWN((task_end-task_start+1)*task_progress,0)+task_start-1&gt;=I$5)</formula>
    </cfRule>
    <cfRule type="expression" dxfId="1" priority="46" stopIfTrue="1">
      <formula>AND(task_end&gt;=I$5,task_start&lt;J$5)</formula>
    </cfRule>
  </conditionalFormatting>
  <conditionalFormatting sqref="BM9:BS24">
    <cfRule type="expression" dxfId="0" priority="7" stopIfTrue="1">
      <formula>AND(task_end&gt;=BM$5,task_start&lt;BN$5)</formula>
    </cfRule>
  </conditionalFormatting>
  <dataValidations disablePrompts="1" count="12">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A14"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25:A27" xr:uid="{4F48FC41-E335-47F1-87AA-3333A52AD81C}"/>
    <dataValidation allowBlank="1" showInputMessage="1" showErrorMessage="1" prompt="Phase 4's sample block starts in cell B26." sqref="A4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50" xr:uid="{79B9237E-4DD3-4E0F-8ED6-E0B695A99D96}"/>
  </dataValidations>
  <hyperlinks>
    <hyperlink ref="B4" r:id="rId1" xr:uid="{00000000-0004-0000-0000-000000000000}"/>
    <hyperlink ref="B3" r:id="rId2" display="SIMPLE GANTT CHART by Vertex42.com"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D7:D50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2.75" x14ac:dyDescent="0.2"/>
  <cols>
    <col min="1" max="1" width="87" style="7" customWidth="1"/>
    <col min="2" max="16384" width="9" style="1"/>
  </cols>
  <sheetData>
    <row r="1" spans="1:2" ht="46.5" customHeight="1" x14ac:dyDescent="0.2"/>
    <row r="2" spans="1:2" s="9" customFormat="1" ht="15.75" x14ac:dyDescent="0.2">
      <c r="A2" s="81" t="s">
        <v>8</v>
      </c>
      <c r="B2" s="8"/>
    </row>
    <row r="3" spans="1:2" s="11" customFormat="1" ht="27" customHeight="1" x14ac:dyDescent="0.2">
      <c r="A3" s="82"/>
      <c r="B3" s="12"/>
    </row>
    <row r="4" spans="1:2" s="10" customFormat="1" ht="31.5" x14ac:dyDescent="0.6">
      <c r="A4" s="83" t="s">
        <v>7</v>
      </c>
    </row>
    <row r="5" spans="1:2" ht="74.25" customHeight="1" x14ac:dyDescent="0.2">
      <c r="A5" s="84" t="s">
        <v>15</v>
      </c>
    </row>
    <row r="6" spans="1:2" ht="26.25" customHeight="1" x14ac:dyDescent="0.2">
      <c r="A6" s="83" t="s">
        <v>18</v>
      </c>
    </row>
    <row r="7" spans="1:2" s="7" customFormat="1" ht="205.15" customHeight="1" x14ac:dyDescent="0.2">
      <c r="A7" s="85" t="s">
        <v>17</v>
      </c>
    </row>
    <row r="8" spans="1:2" s="10" customFormat="1" ht="31.5" x14ac:dyDescent="0.6">
      <c r="A8" s="83" t="s">
        <v>9</v>
      </c>
    </row>
    <row r="9" spans="1:2" ht="57" x14ac:dyDescent="0.2">
      <c r="A9" s="84" t="s">
        <v>16</v>
      </c>
    </row>
    <row r="10" spans="1:2" s="7" customFormat="1" ht="28.15" customHeight="1" x14ac:dyDescent="0.2">
      <c r="A10" s="86" t="s">
        <v>14</v>
      </c>
    </row>
    <row r="11" spans="1:2" s="10" customFormat="1" ht="31.5" x14ac:dyDescent="0.6">
      <c r="A11" s="83" t="s">
        <v>6</v>
      </c>
    </row>
    <row r="12" spans="1:2" ht="28.5" x14ac:dyDescent="0.2">
      <c r="A12" s="84" t="s">
        <v>13</v>
      </c>
    </row>
    <row r="13" spans="1:2" s="7" customFormat="1" ht="28.15" customHeight="1" x14ac:dyDescent="0.2">
      <c r="A13" s="86" t="s">
        <v>2</v>
      </c>
    </row>
    <row r="14" spans="1:2" s="10" customFormat="1" ht="31.5" x14ac:dyDescent="0.6">
      <c r="A14" s="83" t="s">
        <v>10</v>
      </c>
    </row>
    <row r="15" spans="1:2" ht="75" customHeight="1" x14ac:dyDescent="0.2">
      <c r="A15" s="84" t="s">
        <v>11</v>
      </c>
    </row>
    <row r="16" spans="1:2" ht="71.25" x14ac:dyDescent="0.2">
      <c r="A16" s="84" t="s">
        <v>12</v>
      </c>
    </row>
    <row r="17" spans="1:1" x14ac:dyDescent="0.2">
      <c r="A17" s="87"/>
    </row>
    <row r="18" spans="1:1" x14ac:dyDescent="0.2">
      <c r="A18" s="87"/>
    </row>
    <row r="19" spans="1:1" x14ac:dyDescent="0.2">
      <c r="A19" s="87"/>
    </row>
    <row r="20" spans="1:1" x14ac:dyDescent="0.2">
      <c r="A20" s="87"/>
    </row>
    <row r="21" spans="1:1" x14ac:dyDescent="0.2">
      <c r="A21" s="87"/>
    </row>
    <row r="22" spans="1:1" x14ac:dyDescent="0.2">
      <c r="A22" s="87"/>
    </row>
    <row r="23" spans="1:1" x14ac:dyDescent="0.2">
      <c r="A23" s="87"/>
    </row>
    <row r="24" spans="1:1" x14ac:dyDescent="0.2">
      <c r="A24" s="87"/>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customXml/itemProps2.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7245281-08F3-4104-84BD-39F3D8CFB195}">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Jasmine Wang</dc:creator>
  <dc:description/>
  <cp:lastModifiedBy>Ruidi Liu</cp:lastModifiedBy>
  <dcterms:created xsi:type="dcterms:W3CDTF">2022-03-11T22:41:12Z</dcterms:created>
  <dcterms:modified xsi:type="dcterms:W3CDTF">2026-02-09T23:04:55Z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