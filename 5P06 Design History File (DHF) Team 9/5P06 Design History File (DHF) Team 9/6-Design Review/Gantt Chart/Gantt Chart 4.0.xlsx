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E:\McMaster_University\6thYear_2025-2026\SFWRBME_5P06\SFWRBME-5P06\5P06 Design History File (DHF) Team 9\5P06 Design History File (DHF) Team 9\6-Design Review\"/>
    </mc:Choice>
  </mc:AlternateContent>
  <xr:revisionPtr revIDLastSave="0" documentId="8_{80AAD44D-50B0-484F-9963-E2C4BD5C6CB2}" xr6:coauthVersionLast="47" xr6:coauthVersionMax="47" xr10:uidLastSave="{00000000-0000-0000-0000-000000000000}"/>
  <bookViews>
    <workbookView xWindow="-18570" yWindow="0" windowWidth="18675" windowHeight="1558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9" i="11" l="1"/>
  <c r="F178" i="11"/>
  <c r="F177" i="11"/>
  <c r="F176" i="11"/>
  <c r="F175" i="11"/>
  <c r="F174" i="11"/>
  <c r="F173" i="11"/>
  <c r="F172" i="11"/>
  <c r="F171" i="11"/>
  <c r="E190" i="11"/>
  <c r="F189" i="11"/>
  <c r="F188" i="11"/>
  <c r="F170" i="11"/>
  <c r="F169" i="11"/>
  <c r="F168" i="11"/>
  <c r="F163" i="11"/>
  <c r="F162" i="11"/>
  <c r="F167" i="11"/>
  <c r="F166" i="11"/>
  <c r="F165" i="11"/>
  <c r="F164" i="11"/>
  <c r="F161" i="11"/>
  <c r="F160" i="11"/>
  <c r="E131" i="11"/>
  <c r="E130" i="11"/>
  <c r="F130" i="11" s="1"/>
  <c r="F129" i="11"/>
  <c r="E34" i="11"/>
  <c r="F34" i="11" s="1"/>
  <c r="E35" i="11" s="1"/>
  <c r="F35" i="11" s="1"/>
  <c r="E36" i="11" s="1"/>
  <c r="F36" i="11" s="1"/>
  <c r="F33" i="11"/>
  <c r="E29" i="11"/>
  <c r="E30" i="11" s="1"/>
  <c r="E28" i="11"/>
  <c r="F25" i="11"/>
  <c r="E24" i="11"/>
  <c r="F24" i="11" s="1"/>
  <c r="E9" i="11"/>
  <c r="F9" i="11" s="1"/>
  <c r="E13" i="11" s="1"/>
  <c r="F13" i="11" s="1"/>
  <c r="E14" i="11" s="1"/>
  <c r="F14" i="11" s="1"/>
  <c r="E16" i="11" s="1"/>
  <c r="E191" i="11" l="1"/>
  <c r="F191" i="11" s="1"/>
  <c r="F190" i="11"/>
  <c r="E27" i="11"/>
  <c r="F131" i="11"/>
  <c r="E132" i="11" s="1"/>
  <c r="F132" i="11" s="1"/>
  <c r="E134" i="11" s="1"/>
  <c r="E133" i="11"/>
  <c r="F133" i="11" s="1"/>
  <c r="F134" i="11" s="1"/>
  <c r="E135" i="11" s="1"/>
  <c r="F135" i="11" s="1"/>
  <c r="E15" i="11"/>
  <c r="F15" i="11" s="1"/>
  <c r="F16" i="11"/>
  <c r="E17" i="11" s="1"/>
  <c r="E32" i="11"/>
  <c r="F32" i="11" s="1"/>
  <c r="F30" i="11"/>
  <c r="E31" i="11" s="1"/>
  <c r="F31" i="11" s="1"/>
  <c r="F37" i="11"/>
  <c r="E37" i="11"/>
  <c r="F29" i="11"/>
  <c r="E193" i="11" l="1"/>
  <c r="E192" i="11"/>
  <c r="F192" i="11" s="1"/>
  <c r="E194" i="11" s="1"/>
  <c r="E136" i="11"/>
  <c r="E38" i="11"/>
  <c r="F38" i="11"/>
  <c r="E40" i="11" s="1"/>
  <c r="F17" i="11"/>
  <c r="E18" i="11" s="1"/>
  <c r="E20" i="11"/>
  <c r="F20" i="11" s="1"/>
  <c r="F194" i="11" l="1"/>
  <c r="E196" i="11" s="1"/>
  <c r="F196" i="11" s="1"/>
  <c r="F193" i="11"/>
  <c r="E195" i="11" s="1"/>
  <c r="F195" i="11" s="1"/>
  <c r="E137" i="11"/>
  <c r="F136" i="11"/>
  <c r="F22" i="11"/>
  <c r="E21" i="11"/>
  <c r="F18" i="11"/>
  <c r="E44" i="11"/>
  <c r="F44" i="11" s="1"/>
  <c r="F40" i="11"/>
  <c r="E41" i="11" s="1"/>
  <c r="F41" i="11" s="1"/>
  <c r="E42" i="11" s="1"/>
  <c r="F42" i="11" s="1"/>
  <c r="E43" i="11"/>
  <c r="F43" i="11" s="1"/>
  <c r="E138" i="11" l="1"/>
  <c r="F137" i="11"/>
  <c r="F181" i="11"/>
  <c r="E182" i="11" s="1"/>
  <c r="F182" i="11" s="1"/>
  <c r="F21" i="11"/>
  <c r="E22" i="11"/>
  <c r="E23" i="11" s="1"/>
  <c r="F23" i="11" s="1"/>
  <c r="E184" i="11" l="1"/>
  <c r="F184" i="11" s="1"/>
  <c r="E186" i="11" s="1"/>
  <c r="E183" i="11"/>
  <c r="F183" i="11" s="1"/>
  <c r="E185" i="11"/>
  <c r="F138" i="11"/>
  <c r="E139" i="11"/>
  <c r="F185" i="11"/>
  <c r="F139" i="11" l="1"/>
  <c r="E140" i="11"/>
  <c r="F186" i="11"/>
  <c r="E187" i="11" s="1"/>
  <c r="F187" i="11" s="1"/>
  <c r="E141" i="11" l="1"/>
  <c r="F140" i="11"/>
  <c r="E142" i="11" l="1"/>
  <c r="F141" i="11"/>
  <c r="F142" i="11" l="1"/>
  <c r="E143" i="11"/>
  <c r="F143" i="11" l="1"/>
  <c r="E144" i="11"/>
  <c r="F144" i="11" l="1"/>
  <c r="E145" i="11"/>
  <c r="E146" i="11" l="1"/>
  <c r="F145" i="11"/>
  <c r="F146" i="11" l="1"/>
  <c r="E147" i="11"/>
  <c r="E148" i="11" l="1"/>
  <c r="F147" i="11"/>
  <c r="E149" i="11" l="1"/>
  <c r="F148" i="11"/>
  <c r="E150" i="11" l="1"/>
  <c r="F149" i="11"/>
  <c r="F150" i="11" l="1"/>
  <c r="E151" i="11"/>
  <c r="F151" i="11" l="1"/>
  <c r="E152" i="11"/>
  <c r="F152" i="11" l="1"/>
  <c r="E153" i="11"/>
  <c r="F153" i="11" l="1"/>
  <c r="E154" i="11"/>
  <c r="F154" i="11" l="1"/>
  <c r="E155" i="11"/>
  <c r="F155" i="11" l="1"/>
  <c r="E156" i="11"/>
  <c r="F156" i="11" l="1"/>
  <c r="E157" i="11"/>
  <c r="F157" i="11" l="1"/>
  <c r="E158" i="11"/>
  <c r="F158" i="11" s="1"/>
  <c r="F125" i="11" l="1"/>
  <c r="E121" i="11"/>
  <c r="E122" i="11" s="1"/>
  <c r="E120" i="11"/>
  <c r="F120" i="11" s="1"/>
  <c r="F112" i="11"/>
  <c r="E113" i="11" s="1"/>
  <c r="F113" i="11" s="1"/>
  <c r="E114" i="11" s="1"/>
  <c r="F114" i="11" s="1"/>
  <c r="E108" i="11"/>
  <c r="E109" i="11" s="1"/>
  <c r="F109" i="11" s="1"/>
  <c r="E107" i="11"/>
  <c r="F107" i="11" s="1"/>
  <c r="E110" i="11" s="1"/>
  <c r="F110" i="11" s="1"/>
  <c r="E105" i="11"/>
  <c r="F105" i="11" s="1"/>
  <c r="F104" i="11"/>
  <c r="F103" i="11"/>
  <c r="E101" i="11"/>
  <c r="F100" i="11"/>
  <c r="F101" i="11" s="1"/>
  <c r="E99" i="11"/>
  <c r="F99" i="11" s="1"/>
  <c r="E87" i="11"/>
  <c r="F87" i="11" s="1"/>
  <c r="E88" i="11" s="1"/>
  <c r="F88" i="11" s="1"/>
  <c r="E115" i="11" l="1"/>
  <c r="F115" i="11" s="1"/>
  <c r="E116" i="11"/>
  <c r="F122" i="11"/>
  <c r="F121" i="11"/>
  <c r="F108" i="11"/>
  <c r="E89" i="11"/>
  <c r="F89" i="11" s="1"/>
  <c r="E90" i="11" s="1"/>
  <c r="F90" i="11" s="1"/>
  <c r="F116" i="11" l="1"/>
  <c r="E117" i="11"/>
  <c r="E92" i="11"/>
  <c r="E91" i="11"/>
  <c r="F91" i="11" s="1"/>
  <c r="F92" i="11" s="1"/>
  <c r="E93" i="11" s="1"/>
  <c r="F93" i="11" l="1"/>
  <c r="E94" i="11"/>
  <c r="F94" i="11" s="1"/>
  <c r="E118" i="11"/>
  <c r="F117" i="11"/>
  <c r="E119" i="11" l="1"/>
  <c r="F118" i="11"/>
  <c r="F119" i="11" s="1"/>
  <c r="H7" i="11" l="1"/>
  <c r="I5" i="11" l="1"/>
  <c r="H45" i="11"/>
  <c r="H38" i="11"/>
  <c r="H21" i="11"/>
  <c r="H8" i="11"/>
  <c r="I6" i="11" l="1"/>
  <c r="J5" i="11" l="1"/>
  <c r="K5" i="11" s="1"/>
  <c r="L5" i="11" s="1"/>
  <c r="M5" i="11" s="1"/>
  <c r="N5" i="11" s="1"/>
  <c r="O5" i="11" s="1"/>
  <c r="P5" i="11" s="1"/>
  <c r="I4" i="11"/>
  <c r="P4" i="11" l="1"/>
  <c r="Q5" i="11"/>
  <c r="R5" i="11" s="1"/>
  <c r="S5" i="11" s="1"/>
  <c r="T5" i="11" s="1"/>
  <c r="U5" i="11" s="1"/>
  <c r="V5" i="11" s="1"/>
  <c r="W5" i="11" s="1"/>
  <c r="J6" i="11"/>
  <c r="E84" i="11" l="1"/>
  <c r="E83" i="11"/>
  <c r="E73" i="11" s="1"/>
  <c r="E74" i="11" s="1"/>
  <c r="W4" i="11"/>
  <c r="X5" i="11"/>
  <c r="Y5" i="11" s="1"/>
  <c r="Z5" i="11" s="1"/>
  <c r="AA5" i="11" s="1"/>
  <c r="AB5" i="11" s="1"/>
  <c r="AC5" i="11" s="1"/>
  <c r="AD5" i="11" s="1"/>
  <c r="K6" i="11"/>
  <c r="E72" i="11" l="1"/>
  <c r="F72" i="11" s="1"/>
  <c r="E60" i="11"/>
  <c r="F83" i="11"/>
  <c r="E61" i="11"/>
  <c r="F61" i="11" s="1"/>
  <c r="E62" i="11" s="1"/>
  <c r="F62" i="11" s="1"/>
  <c r="E59" i="11"/>
  <c r="F59" i="11" s="1"/>
  <c r="F84" i="11"/>
  <c r="AE5" i="11"/>
  <c r="AF5" i="11" s="1"/>
  <c r="AG5" i="11" s="1"/>
  <c r="AH5" i="11" s="1"/>
  <c r="AI5" i="11" s="1"/>
  <c r="AJ5" i="11" s="1"/>
  <c r="AD4" i="11"/>
  <c r="L6" i="11"/>
  <c r="H22" i="11" l="1"/>
  <c r="F60" i="11"/>
  <c r="E63" i="11" s="1"/>
  <c r="AK5" i="11"/>
  <c r="AL5" i="11" s="1"/>
  <c r="AM5" i="11" s="1"/>
  <c r="AN5" i="11" s="1"/>
  <c r="AO5" i="11" s="1"/>
  <c r="AP5" i="11" s="1"/>
  <c r="AQ5" i="11" s="1"/>
  <c r="M6" i="11"/>
  <c r="F63" i="11" l="1"/>
  <c r="E64" i="11" s="1"/>
  <c r="F64" i="11" s="1"/>
  <c r="E65" i="11" s="1"/>
  <c r="F65" i="11" s="1"/>
  <c r="E66" i="11" s="1"/>
  <c r="F66" i="11" s="1"/>
  <c r="E68" i="11" s="1"/>
  <c r="E69" i="11" s="1"/>
  <c r="H23" i="11"/>
  <c r="AR5" i="11"/>
  <c r="AR4" i="11" s="1"/>
  <c r="AK4" i="11"/>
  <c r="N6" i="11"/>
  <c r="E67" i="11" l="1"/>
  <c r="F67" i="11" s="1"/>
  <c r="F68" i="11"/>
  <c r="F69" i="11" s="1"/>
  <c r="H26" i="11"/>
  <c r="AS5" i="11"/>
  <c r="AS6" i="11" s="1"/>
  <c r="O6" i="11"/>
  <c r="E70" i="11" l="1"/>
  <c r="F70" i="11" s="1"/>
  <c r="E48" i="11" s="1"/>
  <c r="AT5" i="11"/>
  <c r="AU5" i="11" s="1"/>
  <c r="F48" i="11" l="1"/>
  <c r="E49" i="11" s="1"/>
  <c r="H48" i="11"/>
  <c r="E71" i="11"/>
  <c r="F71" i="11"/>
  <c r="AT6" i="11"/>
  <c r="AV5" i="11"/>
  <c r="AU6" i="11"/>
  <c r="P6" i="11"/>
  <c r="Q6" i="11"/>
  <c r="AW5" i="11" l="1"/>
  <c r="AV6" i="11"/>
  <c r="R6" i="11"/>
  <c r="AX5" i="11" l="1"/>
  <c r="AY5" i="11" s="1"/>
  <c r="AW6" i="11"/>
  <c r="S6" i="11"/>
  <c r="AY4" i="11" l="1"/>
  <c r="E81" i="11"/>
  <c r="E80" i="11" s="1"/>
  <c r="AY6" i="11"/>
  <c r="AZ5" i="11"/>
  <c r="AX6" i="11"/>
  <c r="T6" i="11"/>
  <c r="F80" i="11" l="1"/>
  <c r="H43" i="11" s="1"/>
  <c r="E79" i="11"/>
  <c r="F81" i="11"/>
  <c r="H44" i="11" s="1"/>
  <c r="BA5" i="11"/>
  <c r="AZ6" i="11"/>
  <c r="U6" i="11"/>
  <c r="F79" i="11" l="1"/>
  <c r="H42" i="11" s="1"/>
  <c r="E78" i="11"/>
  <c r="BA6" i="11"/>
  <c r="BB5" i="11"/>
  <c r="V6" i="11"/>
  <c r="E76" i="11" l="1"/>
  <c r="F76" i="11" s="1"/>
  <c r="E46" i="11" s="1"/>
  <c r="F78" i="11"/>
  <c r="H41" i="11" s="1"/>
  <c r="BB6" i="11"/>
  <c r="BC5" i="11"/>
  <c r="W6" i="11"/>
  <c r="E77" i="11" l="1"/>
  <c r="F77" i="11" s="1"/>
  <c r="F46" i="11"/>
  <c r="H46" i="11" s="1"/>
  <c r="H39" i="11"/>
  <c r="BC6" i="1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P6" i="11" l="1"/>
  <c r="BQ5" i="11"/>
  <c r="AJ6" i="11"/>
  <c r="BQ6" i="11" l="1"/>
  <c r="BR5" i="11"/>
  <c r="AK6" i="11"/>
  <c r="BR6" i="11" l="1"/>
  <c r="BS5" i="11"/>
  <c r="AL6" i="11"/>
  <c r="BS6" i="11" l="1"/>
  <c r="BT5" i="11"/>
  <c r="AM6" i="11"/>
  <c r="BT4" i="11" l="1"/>
  <c r="BU5" i="11"/>
  <c r="BT6" i="11"/>
  <c r="AN6" i="11"/>
  <c r="BU6" i="11" l="1"/>
  <c r="BV5" i="11"/>
  <c r="AO6" i="11"/>
  <c r="BV6" i="11" l="1"/>
  <c r="BW5" i="11"/>
  <c r="AP6" i="11"/>
  <c r="BX5" i="11" l="1"/>
  <c r="BW6" i="11"/>
  <c r="AQ6" i="11"/>
  <c r="BX6" i="11" l="1"/>
  <c r="BY5" i="11"/>
  <c r="AR6" i="11"/>
  <c r="BZ5" i="11" l="1"/>
  <c r="BY6" i="11"/>
  <c r="H28" i="11"/>
  <c r="E47" i="11"/>
  <c r="BZ6" i="11" l="1"/>
  <c r="CA5" i="11"/>
  <c r="F47" i="11"/>
  <c r="H47" i="11" s="1"/>
  <c r="E51" i="11"/>
  <c r="F51" i="11" s="1"/>
  <c r="H10" i="11"/>
  <c r="H9" i="11"/>
  <c r="CA4" i="11" l="1"/>
  <c r="CB5" i="11"/>
  <c r="CA6" i="11"/>
  <c r="F49" i="11"/>
  <c r="H49" i="11" s="1"/>
  <c r="H11" i="11"/>
  <c r="CC5" i="11" l="1"/>
  <c r="CB6" i="11"/>
  <c r="H12" i="11"/>
  <c r="E50" i="11"/>
  <c r="F50" i="11" s="1"/>
  <c r="CD5" i="11" l="1"/>
  <c r="CC6" i="11"/>
  <c r="E52" i="11"/>
  <c r="F52" i="11" s="1"/>
  <c r="CE5" i="11" l="1"/>
  <c r="CD6" i="11"/>
  <c r="H14" i="11"/>
  <c r="E53" i="11"/>
  <c r="F53" i="11" s="1"/>
  <c r="H15" i="11"/>
  <c r="CF5" i="11" l="1"/>
  <c r="CE6" i="11"/>
  <c r="H16" i="11"/>
  <c r="E54" i="11"/>
  <c r="E55" i="11" s="1"/>
  <c r="CG5" i="11" l="1"/>
  <c r="CF6" i="11"/>
  <c r="F54" i="11"/>
  <c r="F55" i="11"/>
  <c r="CG6" i="11" l="1"/>
  <c r="CH5" i="11"/>
  <c r="F56" i="11"/>
  <c r="F57" i="11" s="1"/>
  <c r="E56" i="11"/>
  <c r="E57" i="11" s="1"/>
  <c r="F73" i="11"/>
  <c r="F74" i="11"/>
  <c r="H37" i="11" s="1"/>
  <c r="CH4" i="11" l="1"/>
  <c r="CI5" i="11"/>
  <c r="CH6" i="11"/>
  <c r="CI6" i="11" l="1"/>
  <c r="CJ5" i="11"/>
  <c r="CJ6" i="11" l="1"/>
  <c r="CK5" i="11"/>
  <c r="CK6" i="11" l="1"/>
  <c r="CL5" i="11"/>
  <c r="CL6" i="11" l="1"/>
  <c r="CM5" i="11"/>
  <c r="CM6" i="11" l="1"/>
  <c r="CN5" i="11"/>
  <c r="CN6" i="11" l="1"/>
  <c r="CO5" i="11"/>
  <c r="CP5" i="11" l="1"/>
  <c r="CO6" i="11"/>
  <c r="CO4" i="11"/>
  <c r="CQ5" i="11" l="1"/>
  <c r="CP6" i="11"/>
  <c r="CR5" i="11" l="1"/>
  <c r="CQ6" i="11"/>
  <c r="CS5" i="11" l="1"/>
  <c r="CR6" i="11"/>
  <c r="CT5" i="11" l="1"/>
  <c r="CS6" i="11"/>
  <c r="CT6" i="11" l="1"/>
  <c r="CU5" i="11"/>
  <c r="CV5" i="11" l="1"/>
  <c r="CU6" i="11"/>
  <c r="CV4" i="11" l="1"/>
  <c r="CV6" i="11"/>
  <c r="CW5" i="11"/>
  <c r="CW6" i="11" l="1"/>
  <c r="CX5" i="11"/>
  <c r="CX6" i="11" l="1"/>
  <c r="CY5" i="11"/>
  <c r="CY6" i="11" l="1"/>
  <c r="CZ5" i="11"/>
  <c r="CZ6" i="11" l="1"/>
  <c r="DA5" i="11"/>
  <c r="DB5" i="11" l="1"/>
  <c r="DA6" i="11"/>
  <c r="DB6" i="11" l="1"/>
  <c r="DC5" i="11"/>
  <c r="DC6" i="11" l="1"/>
  <c r="DD5" i="11"/>
  <c r="DC4" i="11"/>
  <c r="DD6" i="11" l="1"/>
  <c r="DE5" i="11"/>
  <c r="DF5" i="11" l="1"/>
  <c r="DE6" i="11"/>
  <c r="DG5" i="11" l="1"/>
  <c r="DF6" i="11"/>
  <c r="DH5" i="11" l="1"/>
  <c r="DG6" i="11"/>
  <c r="DI5" i="11" l="1"/>
  <c r="DH6" i="11"/>
  <c r="DJ5" i="11" l="1"/>
  <c r="DI6" i="11"/>
  <c r="DK5" i="11" l="1"/>
  <c r="DJ6" i="11"/>
  <c r="DJ4" i="11"/>
  <c r="DK6" i="11" l="1"/>
  <c r="DL5" i="11"/>
  <c r="DM5" i="11" l="1"/>
  <c r="DL6" i="11"/>
  <c r="DN5" i="11" l="1"/>
  <c r="DM6" i="11"/>
  <c r="DO5" i="11" l="1"/>
  <c r="DN6" i="11"/>
  <c r="DO6" i="11" l="1"/>
  <c r="DP5" i="11"/>
  <c r="DP6" i="11" l="1"/>
  <c r="DQ5" i="11"/>
  <c r="DQ6" i="11" l="1"/>
  <c r="DR5" i="11"/>
  <c r="DQ4" i="11"/>
  <c r="DR6" i="11" l="1"/>
  <c r="DS5" i="11"/>
  <c r="DS6" i="11" l="1"/>
  <c r="DT5" i="11"/>
  <c r="DT6" i="11" l="1"/>
  <c r="DU5" i="11"/>
  <c r="DV5" i="11" l="1"/>
  <c r="DU6" i="11"/>
  <c r="DV6" i="11" l="1"/>
  <c r="DW5" i="11"/>
  <c r="DW6" i="11" l="1"/>
  <c r="DX5" i="11"/>
  <c r="DY5" i="11" l="1"/>
  <c r="DX4" i="11"/>
  <c r="DX6" i="11"/>
  <c r="DZ5" i="11" l="1"/>
  <c r="DY6" i="11"/>
  <c r="EA5" i="11" l="1"/>
  <c r="DZ6" i="11"/>
  <c r="EA6" i="11" l="1"/>
  <c r="EB5" i="11"/>
  <c r="EB6" i="11" l="1"/>
  <c r="EC5" i="11"/>
  <c r="ED5" i="11" l="1"/>
  <c r="EC6" i="11"/>
  <c r="EE5" i="11" l="1"/>
  <c r="ED6" i="11"/>
  <c r="EE6" i="11" l="1"/>
  <c r="EE4" i="11"/>
  <c r="EF5" i="11"/>
  <c r="EF6" i="11" l="1"/>
  <c r="EG5" i="11"/>
  <c r="EH5" i="11" l="1"/>
  <c r="EG6" i="11"/>
  <c r="EH6" i="11" l="1"/>
  <c r="EI5" i="11"/>
  <c r="EI6" i="11" l="1"/>
  <c r="EJ5" i="11"/>
  <c r="EJ6" i="11" l="1"/>
  <c r="EK5" i="11"/>
  <c r="EK6" i="11" l="1"/>
  <c r="EL5" i="11"/>
  <c r="EL4" i="11" l="1"/>
  <c r="EL6" i="11"/>
  <c r="EM5" i="11"/>
  <c r="EN5" i="11" l="1"/>
  <c r="EM6" i="11"/>
  <c r="EO5" i="11" l="1"/>
  <c r="EN6" i="11"/>
  <c r="EO6" i="11" l="1"/>
  <c r="EP5" i="11"/>
  <c r="EQ5" i="11" l="1"/>
  <c r="EP6" i="11"/>
  <c r="ER5" i="11" l="1"/>
  <c r="EQ6" i="11"/>
  <c r="ES5" i="11" l="1"/>
  <c r="ER6" i="11"/>
  <c r="ES6" i="11" l="1"/>
  <c r="ES4" i="11"/>
  <c r="ET5" i="11"/>
  <c r="ET6" i="11" l="1"/>
  <c r="EU5" i="11"/>
  <c r="EU6" i="11" l="1"/>
  <c r="EV5" i="11"/>
  <c r="EW5" i="11" l="1"/>
  <c r="EV6" i="11"/>
  <c r="EX5" i="11" l="1"/>
  <c r="EW6" i="11"/>
  <c r="EY5" i="11" l="1"/>
  <c r="EX6" i="11"/>
  <c r="EY6" i="11" l="1"/>
  <c r="EZ5" i="11"/>
  <c r="FA5" i="11" l="1"/>
  <c r="EZ6" i="11"/>
  <c r="EZ4" i="11"/>
  <c r="FB5" i="11" l="1"/>
  <c r="FA6" i="11"/>
  <c r="FC5" i="11" l="1"/>
  <c r="FB6" i="11"/>
  <c r="FC6" i="11" l="1"/>
  <c r="FD5" i="11"/>
  <c r="FE5" i="11" l="1"/>
  <c r="FD6" i="11"/>
  <c r="FE6" i="11" l="1"/>
  <c r="FF5" i="11"/>
  <c r="FG5" i="11" l="1"/>
  <c r="FF6" i="11"/>
  <c r="FH5" i="11" l="1"/>
  <c r="FG4" i="11"/>
  <c r="FG6" i="11"/>
  <c r="FI5" i="11" l="1"/>
  <c r="FH6" i="11"/>
  <c r="FJ5" i="11" l="1"/>
  <c r="FI6" i="11"/>
  <c r="FJ6" i="11" l="1"/>
  <c r="FK5" i="11"/>
  <c r="FK6" i="11" l="1"/>
  <c r="FL5" i="11"/>
  <c r="FM5" i="11" l="1"/>
  <c r="FL6" i="11"/>
  <c r="FN5" i="11" l="1"/>
  <c r="FM6" i="11"/>
  <c r="FN6" i="11" l="1"/>
  <c r="FO5" i="11"/>
  <c r="FN4" i="11"/>
  <c r="FP5" i="11" l="1"/>
  <c r="FO6" i="11"/>
  <c r="FQ5" i="11" l="1"/>
  <c r="FP6" i="11"/>
  <c r="FR5" i="11" l="1"/>
  <c r="FQ6" i="11"/>
  <c r="FS5" i="11" l="1"/>
  <c r="FR6" i="11"/>
  <c r="FS6" i="11" l="1"/>
  <c r="FT5" i="11"/>
  <c r="FT6" i="11" l="1"/>
  <c r="FU5" i="11"/>
  <c r="FU4" i="11" l="1"/>
  <c r="FU6" i="11"/>
  <c r="FV5" i="11"/>
  <c r="FV6" i="11" l="1"/>
  <c r="FW5" i="11"/>
  <c r="FX5" i="11" l="1"/>
  <c r="FW6" i="11"/>
  <c r="FY5" i="11" l="1"/>
  <c r="FX6" i="11"/>
  <c r="FY6" i="11" l="1"/>
  <c r="FZ5" i="11"/>
  <c r="GA5" i="11" l="1"/>
  <c r="FZ6" i="11"/>
  <c r="GA6" i="11" l="1"/>
  <c r="GB5" i="11"/>
  <c r="GB4" i="11" l="1"/>
  <c r="GB6" i="11"/>
  <c r="GC5" i="11"/>
  <c r="GC6" i="11" l="1"/>
  <c r="GD5" i="11"/>
  <c r="GD6" i="11" l="1"/>
  <c r="GE5" i="11"/>
  <c r="GE6" i="11" l="1"/>
  <c r="GF5" i="11"/>
  <c r="GF6" i="11" l="1"/>
  <c r="GG5" i="11"/>
  <c r="GH5" i="11" l="1"/>
  <c r="GG6" i="11"/>
  <c r="GI5" i="11" l="1"/>
  <c r="GH6" i="11"/>
  <c r="GI4" i="11" l="1"/>
  <c r="GJ5" i="11"/>
  <c r="GI6" i="11"/>
  <c r="GK5" i="11" l="1"/>
  <c r="GJ6" i="11"/>
  <c r="GL5" i="11" l="1"/>
  <c r="GK6" i="11"/>
  <c r="GM5" i="11" l="1"/>
  <c r="GL6" i="11"/>
  <c r="GN5" i="11" l="1"/>
  <c r="GM6" i="11"/>
  <c r="GO5" i="11" l="1"/>
  <c r="GN6" i="11"/>
  <c r="GO6" i="11" l="1"/>
  <c r="GP5" i="11"/>
  <c r="GP4" i="11" l="1"/>
  <c r="GP6" i="11"/>
  <c r="GQ5" i="11"/>
  <c r="GQ6" i="11" l="1"/>
  <c r="GR5" i="11"/>
  <c r="GS5" i="11" l="1"/>
  <c r="GR6" i="11"/>
  <c r="GT5" i="11" l="1"/>
  <c r="GS6" i="11"/>
  <c r="GU5" i="11" l="1"/>
  <c r="GT6" i="11"/>
  <c r="GU6" i="11" l="1"/>
  <c r="GV5" i="11"/>
  <c r="GV6" i="11" l="1"/>
  <c r="GW5" i="11"/>
  <c r="GX5" i="11" l="1"/>
  <c r="GW6" i="11"/>
  <c r="GW4" i="11"/>
  <c r="GX6" i="11" l="1"/>
  <c r="GY5" i="11"/>
  <c r="GZ5" i="11" l="1"/>
  <c r="GY6" i="11"/>
  <c r="HA5" i="11" l="1"/>
  <c r="GZ6" i="11"/>
  <c r="HA6" i="11" l="1"/>
  <c r="HB5" i="11"/>
  <c r="HC5" i="11" l="1"/>
  <c r="HB6" i="11"/>
  <c r="HD5" i="11" l="1"/>
  <c r="HC6" i="11"/>
  <c r="HD4" i="11" l="1"/>
  <c r="HE5" i="11"/>
  <c r="HD6" i="11"/>
  <c r="HF5" i="11" l="1"/>
  <c r="HE6" i="11"/>
  <c r="HF6" i="11" l="1"/>
  <c r="HG5" i="11"/>
  <c r="HG6" i="11" l="1"/>
  <c r="HH5" i="11"/>
  <c r="HH6" i="11" l="1"/>
  <c r="HI5" i="11"/>
  <c r="HI6" i="11" l="1"/>
  <c r="HJ5" i="11"/>
  <c r="HJ6" i="11" l="1"/>
  <c r="HK5" i="11"/>
  <c r="HK6" i="11" l="1"/>
  <c r="HK4" i="11"/>
  <c r="HL5" i="11"/>
  <c r="HM5" i="11" l="1"/>
  <c r="HL6" i="11"/>
  <c r="HM6" i="11" l="1"/>
  <c r="HN5" i="11"/>
  <c r="HN6" i="11" l="1"/>
  <c r="HO5" i="11"/>
  <c r="HP5" i="11" l="1"/>
  <c r="HO6" i="11"/>
  <c r="HP6" i="11" l="1"/>
  <c r="HQ5" i="11"/>
  <c r="HR5" i="11" l="1"/>
  <c r="HQ6" i="11"/>
  <c r="HS5" i="11" l="1"/>
  <c r="HR6" i="11"/>
  <c r="HR4" i="11"/>
  <c r="HS6" i="11" l="1"/>
  <c r="HT5" i="11"/>
  <c r="HU5" i="11" l="1"/>
  <c r="HT6" i="11"/>
  <c r="HV5" i="11" l="1"/>
  <c r="HU6" i="11"/>
  <c r="HV6" i="11" l="1"/>
  <c r="HW5" i="11"/>
  <c r="HW6" i="11" l="1"/>
  <c r="HX5" i="11"/>
  <c r="HX6" i="11" l="1"/>
  <c r="HY5" i="11"/>
  <c r="HY6" i="11" l="1"/>
  <c r="HZ5" i="11"/>
  <c r="HY4" i="11"/>
  <c r="HZ6" i="11" l="1"/>
  <c r="IA5" i="11"/>
  <c r="IA6" i="11" l="1"/>
  <c r="IB5" i="11"/>
  <c r="IB6" i="11" l="1"/>
  <c r="IC5" i="11"/>
  <c r="ID5" i="11" l="1"/>
  <c r="IC6" i="11"/>
  <c r="ID6" i="11" l="1"/>
  <c r="IE5" i="11"/>
  <c r="IE6" i="11" s="1"/>
</calcChain>
</file>

<file path=xl/sharedStrings.xml><?xml version="1.0" encoding="utf-8"?>
<sst xmlns="http://schemas.openxmlformats.org/spreadsheetml/2006/main" count="379" uniqueCount="181">
  <si>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</si>
  <si>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</si>
  <si>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</si>
  <si>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</si>
  <si>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</si>
  <si>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</si>
  <si>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</si>
  <si>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</si>
  <si>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</si>
  <si>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</si>
  <si>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</si>
  <si>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</si>
  <si>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</si>
  <si>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</si>
  <si>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</si>
  <si>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</si>
  <si>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</si>
  <si>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</si>
  <si>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</si>
  <si>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</si>
  <si>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</si>
  <si>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</si>
  <si>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Selfie Oral Health Assessment</t>
  </si>
  <si>
    <t>Team 9.</t>
  </si>
  <si>
    <t>Jasmine Wang  &amp; Ruidi Liu</t>
  </si>
  <si>
    <t>Github Repo</t>
  </si>
  <si>
    <t>https://github.com/ShadowOfShark/SFWRBME-5P06</t>
  </si>
  <si>
    <t>Chapter 2</t>
  </si>
  <si>
    <t>Summary</t>
  </si>
  <si>
    <t>2.1  Draft</t>
  </si>
  <si>
    <t>2.2 Draft</t>
  </si>
  <si>
    <t xml:space="preserve">2.3 Draft </t>
  </si>
  <si>
    <t>2.4 Draft</t>
  </si>
  <si>
    <t>2.1 Revision</t>
  </si>
  <si>
    <t>2.2 Revision</t>
  </si>
  <si>
    <t>2.3 Revision</t>
  </si>
  <si>
    <t>2.4 Revision</t>
  </si>
  <si>
    <t>Formatting</t>
  </si>
  <si>
    <t>References</t>
  </si>
  <si>
    <t>Final Review</t>
  </si>
  <si>
    <t>Proof Of Concept</t>
  </si>
  <si>
    <t>Data Collection</t>
  </si>
  <si>
    <t>Data Labeling</t>
  </si>
  <si>
    <t>Environmental Setup</t>
  </si>
  <si>
    <t>Data Pipeline</t>
  </si>
  <si>
    <t>Model 1 Development</t>
  </si>
  <si>
    <t>Model 2 Development</t>
  </si>
  <si>
    <t>Model 1 Refinement</t>
  </si>
  <si>
    <t>Model 2 Refinemennt</t>
  </si>
  <si>
    <t>Model 2 Testing</t>
  </si>
  <si>
    <t>Model 1 Testing</t>
  </si>
  <si>
    <t xml:space="preserve">Descision Tree </t>
  </si>
  <si>
    <t>Jasmine Wang</t>
  </si>
  <si>
    <t>Presentation</t>
  </si>
  <si>
    <t>Demo Video</t>
  </si>
  <si>
    <t>Script</t>
  </si>
  <si>
    <t>Practice</t>
  </si>
  <si>
    <t>Both</t>
  </si>
  <si>
    <t>Stakeholder Meeting</t>
  </si>
  <si>
    <t xml:space="preserve">Questionnaire </t>
  </si>
  <si>
    <t>Ruidi Liu</t>
  </si>
  <si>
    <t>Discussion</t>
  </si>
  <si>
    <t>Brainstorming model</t>
  </si>
  <si>
    <t>Research model</t>
  </si>
  <si>
    <t>Diagnostic Criteria Research</t>
  </si>
  <si>
    <t>Slide Deck Finalized</t>
  </si>
  <si>
    <t>Slide Deck Draft</t>
  </si>
  <si>
    <t>Meetings</t>
  </si>
  <si>
    <t>Fall Term Presentation</t>
  </si>
  <si>
    <t>Chapter 3</t>
  </si>
  <si>
    <t>Jasmine</t>
  </si>
  <si>
    <t>3.1  Frontend Research</t>
  </si>
  <si>
    <t>3.2  Frontend Research</t>
  </si>
  <si>
    <t>3.1 Backend Research</t>
  </si>
  <si>
    <t>3.2 Backend Research</t>
  </si>
  <si>
    <t>3.1 Frontend Draft</t>
  </si>
  <si>
    <t>3.2 Frontend Draft</t>
  </si>
  <si>
    <t xml:space="preserve">3.1 Backend Draft </t>
  </si>
  <si>
    <t>3.2 Backend Draft</t>
  </si>
  <si>
    <t>3.1 Rewrite</t>
  </si>
  <si>
    <t>3.2 DO1-6 Rewrite</t>
  </si>
  <si>
    <t>4HC3 Notes Review</t>
  </si>
  <si>
    <t xml:space="preserve">Both </t>
  </si>
  <si>
    <t>Overall Architecture Verification</t>
  </si>
  <si>
    <t>Client Side Architecture Verification</t>
  </si>
  <si>
    <t>Paper Prototype</t>
  </si>
  <si>
    <t>WireFrame Brainstorm</t>
  </si>
  <si>
    <t>1-26-26</t>
  </si>
  <si>
    <t>Interview Survey</t>
  </si>
  <si>
    <t>Interactive Figma model</t>
  </si>
  <si>
    <t>Story Board Design</t>
  </si>
  <si>
    <t>Design Elements Review</t>
  </si>
  <si>
    <t>Instructor Meeting Arrange</t>
  </si>
  <si>
    <t>Meeting Minutes</t>
  </si>
  <si>
    <t xml:space="preserve">Instructor Meeting </t>
  </si>
  <si>
    <t>Project Approval</t>
  </si>
  <si>
    <t>Project Brainstorming</t>
  </si>
  <si>
    <t>All members</t>
  </si>
  <si>
    <t>Team Formation Form</t>
  </si>
  <si>
    <t>Github Setup</t>
  </si>
  <si>
    <t>Enroll in Capstone Group</t>
  </si>
  <si>
    <t>Meeting #1</t>
  </si>
  <si>
    <t>Team Charter</t>
  </si>
  <si>
    <t>Project Approval Form</t>
  </si>
  <si>
    <t>Consultation meeting</t>
  </si>
  <si>
    <t>Completion of Consultation Email</t>
  </si>
  <si>
    <t>Approval Email</t>
  </si>
  <si>
    <t>Justification of Disciplinary</t>
  </si>
  <si>
    <t>Rough Draft</t>
  </si>
  <si>
    <t>Motivation</t>
  </si>
  <si>
    <t>Education Background and Expected Contribution</t>
  </si>
  <si>
    <t>Solution Statement</t>
  </si>
  <si>
    <t>Final Submission</t>
  </si>
  <si>
    <t>Chapter 1</t>
  </si>
  <si>
    <t>Background Research</t>
  </si>
  <si>
    <t>Arrange Meetings</t>
  </si>
  <si>
    <t>Stakeholder Interview</t>
  </si>
  <si>
    <t>Consultation meeting with Dr.Smith</t>
  </si>
  <si>
    <t>Consultation meeting with Dr. Vincent</t>
  </si>
  <si>
    <t>Meeting Minutes update</t>
  </si>
  <si>
    <t>1.1 Background Write up</t>
  </si>
  <si>
    <t>1.2 Design Input Write up</t>
  </si>
  <si>
    <t>1.3 Design Process Write up</t>
  </si>
  <si>
    <t>1.4 Preliminary Risks Write up</t>
  </si>
  <si>
    <t>Formatting + Gannt Chart</t>
  </si>
  <si>
    <t>Evaluation</t>
  </si>
  <si>
    <t>Monitor progress</t>
  </si>
  <si>
    <t>Track expenses</t>
  </si>
  <si>
    <t>Evaluate progress</t>
  </si>
  <si>
    <t>Address risks</t>
  </si>
  <si>
    <t>Gather feedback</t>
  </si>
  <si>
    <t>Chapter 4</t>
  </si>
  <si>
    <t>Table Of Contents</t>
  </si>
  <si>
    <t>List of Abbreviations and Symbols</t>
  </si>
  <si>
    <t>Revision of Chapter 1</t>
  </si>
  <si>
    <t>Revision of Chapter 2</t>
  </si>
  <si>
    <t>Revision of Chapter 3</t>
  </si>
  <si>
    <t>List of Tables</t>
  </si>
  <si>
    <t>List of Figures</t>
  </si>
  <si>
    <t>References Chapter 1- 3</t>
  </si>
  <si>
    <t>Figures Chapter 1 - 3</t>
  </si>
  <si>
    <t>Tables Chapter 1 - 3</t>
  </si>
  <si>
    <t>4.1 Implementation Front End Prototype Description</t>
  </si>
  <si>
    <t>4.1 Implementation Front End Prototype Implementation</t>
  </si>
  <si>
    <t>4.1 Implementation Front End Prototype Testing</t>
  </si>
  <si>
    <t>4.1 Implementation Front End Integration Implementation</t>
  </si>
  <si>
    <t>4.1 Implementation Front End Integration Testing</t>
  </si>
  <si>
    <t>4.1 Implementation Back End Implementation</t>
  </si>
  <si>
    <t>4.1 Implementation Back End Integration Testing</t>
  </si>
  <si>
    <t>4.2 DO2 Frontend/backend Integration Testing</t>
  </si>
  <si>
    <t>4.2 DO2 Backend Components Testing and Verification</t>
  </si>
  <si>
    <t>4.2 DO3 Verification</t>
  </si>
  <si>
    <t>4.2 DO4 Verification</t>
  </si>
  <si>
    <t>4.2 Assumptions, Limitations and Constraints</t>
  </si>
  <si>
    <t>4.3 Future Work</t>
  </si>
  <si>
    <t>4.4 Reflections and Recommendations</t>
  </si>
  <si>
    <t>4.4 Gantt Chart compilation</t>
  </si>
  <si>
    <t>4.4 Individual Reflection</t>
  </si>
  <si>
    <t>Appendix A-D</t>
  </si>
  <si>
    <t>Chapter 5</t>
  </si>
  <si>
    <t>Iteration 3.0</t>
  </si>
  <si>
    <t>Iteration 3.1</t>
  </si>
  <si>
    <t>Iteration 3.3</t>
  </si>
  <si>
    <t>Iteration 3.1 Feedback</t>
  </si>
  <si>
    <t>Iteration 3.2 Feedback</t>
  </si>
  <si>
    <t>Iteration 3.3 Feedback</t>
  </si>
  <si>
    <t>Iteration 3.0 Feedback + Group Interview</t>
  </si>
  <si>
    <t>Iteration 3.5 Feedback</t>
  </si>
  <si>
    <t>Figma Demo Video</t>
  </si>
  <si>
    <t>Integrated Demo Video</t>
  </si>
  <si>
    <t xml:space="preserve">Iteration 3.2 </t>
  </si>
  <si>
    <t>Iteration 3.4 &amp; 3.5 + Testing</t>
  </si>
  <si>
    <t xml:space="preserve">Render </t>
  </si>
  <si>
    <t>Fall Term Presentation + Expo Demo</t>
  </si>
  <si>
    <t>Presentation Poster Draft</t>
  </si>
  <si>
    <t>Presentation Deck Finalized</t>
  </si>
  <si>
    <t xml:space="preserve">Code &amp; Server Fixing </t>
  </si>
  <si>
    <t>Poster Re-editing</t>
  </si>
  <si>
    <t>Capstone Demo</t>
  </si>
  <si>
    <t>Capstone Demo Setup</t>
  </si>
  <si>
    <t>Capstone Demo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</si>
</sst>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2"/>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19" fillId="12" borderId="20" xfId="0" applyNumberFormat="1" applyFont="1" applyFill="1" applyBorder="1" applyAlignment="1">
      <alignment horizontal="center" vertical="center"/>
    </xf>
    <xf numFmtId="168" fontId="19" fillId="12" borderId="18" xfId="0" applyNumberFormat="1" applyFont="1" applyFill="1" applyBorder="1" applyAlignment="1">
      <alignment horizontal="center" vertical="center"/>
    </xf>
    <xf numFmtId="168"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5"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5"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5" fontId="17"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165"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5" fontId="17"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165"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5" fontId="17"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165"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7" fillId="0" borderId="0" xfId="5" applyFont="1" applyAlignment="1">
      <alignment horizontal="left"/>
    </xf>
    <xf numFmtId="0" fontId="2" fillId="0" borderId="0" xfId="1" applyAlignment="1" applyProtection="1">
      <alignment horizontal="left" vertical="top" indent="1"/>
    </xf>
    <xf numFmtId="9" fontId="1" fillId="4" borderId="5" xfId="2" applyFont="1" applyFill="1" applyBorder="1" applyAlignment="1">
      <alignment horizontal="center" vertical="center"/>
    </xf>
    <xf numFmtId="9" fontId="1" fillId="5" borderId="8" xfId="2" applyFont="1" applyFill="1" applyBorder="1" applyAlignment="1">
      <alignment horizontal="center" vertical="center"/>
    </xf>
    <xf numFmtId="9" fontId="1" fillId="10" borderId="9" xfId="2" applyFont="1" applyFill="1" applyBorder="1" applyAlignment="1">
      <alignment horizontal="center" vertical="center"/>
    </xf>
    <xf numFmtId="0" fontId="4" fillId="10" borderId="4" xfId="0" applyFont="1" applyFill="1" applyBorder="1" applyAlignment="1">
      <alignment vertical="center"/>
    </xf>
    <xf numFmtId="167" fontId="17" fillId="2" borderId="13" xfId="0" applyNumberFormat="1" applyFont="1" applyFill="1" applyBorder="1" applyAlignment="1">
      <alignment horizontal="center" vertical="center" wrapText="1"/>
    </xf>
    <xf numFmtId="167" fontId="17" fillId="2" borderId="19" xfId="0" applyNumberFormat="1" applyFont="1" applyFill="1" applyBorder="1" applyAlignment="1">
      <alignment horizontal="center" vertical="center" wrapText="1"/>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4" fillId="2" borderId="21" xfId="0" applyFont="1" applyFill="1" applyBorder="1"/>
    <xf numFmtId="0" fontId="18" fillId="11" borderId="16" xfId="0" applyFont="1" applyFill="1" applyBorder="1" applyAlignment="1">
      <alignment horizontal="center" vertical="center"/>
    </xf>
    <xf numFmtId="0" fontId="23" fillId="0" borderId="0" xfId="0" applyFont="1" applyAlignment="1">
      <alignment horizontal="left"/>
    </xf>
    <xf numFmtId="0" fontId="24" fillId="0" borderId="0" xfId="0" applyFont="1"/>
    <xf numFmtId="166" fontId="23" fillId="0" borderId="0" xfId="9" applyFont="1" applyBorder="1" applyAlignment="1">
      <alignment horizontal="left"/>
    </xf>
    <xf numFmtId="0" fontId="22" fillId="0" borderId="0" xfId="8" applyFont="1" applyAlignment="1">
      <alignment horizontal="left"/>
    </xf>
    <xf numFmtId="0" fontId="4" fillId="0" borderId="0" xfId="0" applyFont="1"/>
    <xf numFmtId="167" fontId="17"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0">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5" tint="0.79998168889431442"/>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6"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8" tint="0.79998168889431442"/>
        </patternFill>
      </fill>
    </dxf>
    <dxf>
      <fill>
        <patternFill>
          <bgColor theme="4" tint="0.79998168889431442"/>
        </patternFill>
      </fill>
    </dxf>
    <dxf>
      <border>
        <left style="thin">
          <color theme="5"/>
        </left>
        <right style="thin">
          <color theme="5"/>
        </right>
        <vertical/>
        <horizontal/>
      </border>
    </dxf>
    <dxf>
      <fill>
        <patternFill>
          <bgColor theme="6" tint="0.79998168889431442"/>
        </patternFill>
      </fill>
    </dxf>
    <dxf>
      <fill>
        <patternFill>
          <bgColor theme="6"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59996337778862885"/>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9"/>
      <tableStyleElement type="headerRow" dxfId="28"/>
      <tableStyleElement type="totalRow" dxfId="27"/>
      <tableStyleElement type="firstColumn" dxfId="26"/>
      <tableStyleElement type="lastColumn" dxfId="25"/>
      <tableStyleElement type="firstRowStripe" dxfId="24"/>
      <tableStyleElement type="secondRowStripe" dxfId="23"/>
      <tableStyleElement type="firstColumnStripe" dxfId="22"/>
      <tableStyleElement type="secondColumnStripe"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ShadowOfShark/SFWRBME-5P0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R196"/>
  <sheetViews>
    <sheetView showGridLines="0" tabSelected="1" showRuler="0" topLeftCell="A76" zoomScale="75" zoomScaleNormal="75" zoomScalePageLayoutView="70" workbookViewId="0">
      <selection activeCell="HU128" sqref="HU128"/>
    </sheetView>
  </sheetViews>
  <sheetFormatPr defaultColWidth="3.125" defaultRowHeight="30" customHeight="1" x14ac:dyDescent="0.2"/>
  <cols>
    <col min="1" max="1" width="2.75" style="12" customWidth="1"/>
    <col min="2" max="2" width="52.375" customWidth="1"/>
    <col min="3" max="3" width="16.75" customWidth="1"/>
    <col min="4" max="4" width="10.75" customWidth="1"/>
    <col min="5" max="5" width="10.75" style="2" customWidth="1"/>
    <col min="6" max="6" width="10.75" customWidth="1"/>
    <col min="7" max="7" width="2.75" customWidth="1"/>
    <col min="8" max="8" width="6" hidden="1" customWidth="1"/>
    <col min="9" max="66" width="2.75" customWidth="1"/>
    <col min="67" max="67" width="2.875" customWidth="1"/>
    <col min="68" max="68" width="2.25" customWidth="1"/>
    <col min="69" max="69" width="2.5" customWidth="1"/>
    <col min="70" max="70" width="2.875" customWidth="1"/>
    <col min="71" max="71" width="2" customWidth="1"/>
  </cols>
  <sheetData>
    <row r="1" spans="1:239" ht="90" customHeight="1" x14ac:dyDescent="0.65">
      <c r="A1" s="13"/>
      <c r="B1" s="88" t="s">
        <v>22</v>
      </c>
      <c r="C1" s="15"/>
      <c r="D1" s="16"/>
      <c r="E1" s="17"/>
      <c r="F1" s="18"/>
      <c r="H1" s="1"/>
      <c r="I1" s="105" t="s">
        <v>19</v>
      </c>
      <c r="J1" s="106"/>
      <c r="K1" s="106"/>
      <c r="L1" s="106"/>
      <c r="M1" s="106"/>
      <c r="N1" s="106"/>
      <c r="O1" s="106"/>
      <c r="P1" s="21"/>
      <c r="Q1" s="104">
        <v>45902</v>
      </c>
      <c r="R1" s="103"/>
      <c r="S1" s="103"/>
      <c r="T1" s="103"/>
      <c r="U1" s="103"/>
      <c r="V1" s="103"/>
      <c r="W1" s="103"/>
      <c r="X1" s="103"/>
      <c r="Y1" s="103"/>
      <c r="Z1" s="103"/>
    </row>
    <row r="2" spans="1:239" ht="30" customHeight="1" x14ac:dyDescent="0.5">
      <c r="B2" s="79" t="s">
        <v>23</v>
      </c>
      <c r="C2" s="80" t="s">
        <v>24</v>
      </c>
      <c r="D2" s="19"/>
      <c r="E2" s="20"/>
      <c r="F2" s="19"/>
      <c r="I2" s="105" t="s">
        <v>20</v>
      </c>
      <c r="J2" s="106"/>
      <c r="K2" s="106"/>
      <c r="L2" s="106"/>
      <c r="M2" s="106"/>
      <c r="N2" s="106"/>
      <c r="O2" s="106"/>
      <c r="P2" s="21"/>
      <c r="Q2" s="102">
        <v>1</v>
      </c>
      <c r="R2" s="103"/>
      <c r="S2" s="103"/>
      <c r="T2" s="103"/>
      <c r="U2" s="103"/>
      <c r="V2" s="103"/>
      <c r="W2" s="103"/>
      <c r="X2" s="103"/>
      <c r="Y2" s="103"/>
      <c r="Z2" s="103"/>
    </row>
    <row r="3" spans="1:239" s="23" customFormat="1" ht="30" customHeight="1" x14ac:dyDescent="0.25">
      <c r="A3" s="12"/>
      <c r="B3" s="22" t="s">
        <v>25</v>
      </c>
      <c r="D3" s="24"/>
      <c r="E3" s="25"/>
    </row>
    <row r="4" spans="1:239" s="23" customFormat="1" ht="30" customHeight="1" x14ac:dyDescent="0.2">
      <c r="A4" s="13"/>
      <c r="B4" s="89" t="s">
        <v>26</v>
      </c>
      <c r="E4" s="26"/>
      <c r="I4" s="107">
        <f>I5</f>
        <v>45901</v>
      </c>
      <c r="J4" s="94"/>
      <c r="K4" s="94"/>
      <c r="L4" s="94"/>
      <c r="M4" s="94"/>
      <c r="N4" s="94"/>
      <c r="O4" s="94"/>
      <c r="P4" s="94">
        <f>P5</f>
        <v>45908</v>
      </c>
      <c r="Q4" s="94"/>
      <c r="R4" s="94"/>
      <c r="S4" s="94"/>
      <c r="T4" s="94"/>
      <c r="U4" s="94"/>
      <c r="V4" s="94"/>
      <c r="W4" s="94">
        <f>W5</f>
        <v>45915</v>
      </c>
      <c r="X4" s="94"/>
      <c r="Y4" s="94"/>
      <c r="Z4" s="94"/>
      <c r="AA4" s="94"/>
      <c r="AB4" s="94"/>
      <c r="AC4" s="94"/>
      <c r="AD4" s="94">
        <f>AD5</f>
        <v>45922</v>
      </c>
      <c r="AE4" s="94"/>
      <c r="AF4" s="94"/>
      <c r="AG4" s="94"/>
      <c r="AH4" s="94"/>
      <c r="AI4" s="94"/>
      <c r="AJ4" s="94"/>
      <c r="AK4" s="94">
        <f>AK5</f>
        <v>45929</v>
      </c>
      <c r="AL4" s="94"/>
      <c r="AM4" s="94"/>
      <c r="AN4" s="94"/>
      <c r="AO4" s="94"/>
      <c r="AP4" s="94"/>
      <c r="AQ4" s="94"/>
      <c r="AR4" s="94">
        <f>AR5</f>
        <v>45936</v>
      </c>
      <c r="AS4" s="94"/>
      <c r="AT4" s="94"/>
      <c r="AU4" s="94"/>
      <c r="AV4" s="94"/>
      <c r="AW4" s="94"/>
      <c r="AX4" s="94"/>
      <c r="AY4" s="94">
        <f>AY5</f>
        <v>45943</v>
      </c>
      <c r="AZ4" s="94"/>
      <c r="BA4" s="94"/>
      <c r="BB4" s="94"/>
      <c r="BC4" s="94"/>
      <c r="BD4" s="94"/>
      <c r="BE4" s="94"/>
      <c r="BF4" s="94">
        <f>BF5</f>
        <v>45950</v>
      </c>
      <c r="BG4" s="94"/>
      <c r="BH4" s="94"/>
      <c r="BI4" s="94"/>
      <c r="BJ4" s="94"/>
      <c r="BK4" s="94"/>
      <c r="BL4" s="95"/>
      <c r="BM4" s="94">
        <f>BM5</f>
        <v>45957</v>
      </c>
      <c r="BN4" s="94"/>
      <c r="BO4" s="94"/>
      <c r="BP4" s="94"/>
      <c r="BQ4" s="94"/>
      <c r="BR4" s="94"/>
      <c r="BS4" s="95"/>
      <c r="BT4" s="94">
        <f>BT5</f>
        <v>45964</v>
      </c>
      <c r="BU4" s="94"/>
      <c r="BV4" s="94"/>
      <c r="BW4" s="94"/>
      <c r="BX4" s="94"/>
      <c r="BY4" s="94"/>
      <c r="BZ4" s="95"/>
      <c r="CA4" s="94">
        <f>CA5</f>
        <v>45971</v>
      </c>
      <c r="CB4" s="94"/>
      <c r="CC4" s="94"/>
      <c r="CD4" s="94"/>
      <c r="CE4" s="94"/>
      <c r="CF4" s="94"/>
      <c r="CG4" s="95"/>
      <c r="CH4" s="94">
        <f>CH5</f>
        <v>45978</v>
      </c>
      <c r="CI4" s="94"/>
      <c r="CJ4" s="94"/>
      <c r="CK4" s="94"/>
      <c r="CL4" s="94"/>
      <c r="CM4" s="94"/>
      <c r="CN4" s="95"/>
      <c r="CO4" s="94">
        <f>CO5</f>
        <v>45985</v>
      </c>
      <c r="CP4" s="94"/>
      <c r="CQ4" s="94"/>
      <c r="CR4" s="94"/>
      <c r="CS4" s="94"/>
      <c r="CT4" s="94"/>
      <c r="CU4" s="95"/>
      <c r="CV4" s="94">
        <f>CV5</f>
        <v>45992</v>
      </c>
      <c r="CW4" s="94"/>
      <c r="CX4" s="94"/>
      <c r="CY4" s="94"/>
      <c r="CZ4" s="94"/>
      <c r="DA4" s="94"/>
      <c r="DB4" s="95"/>
      <c r="DC4" s="94">
        <f>DC5</f>
        <v>45999</v>
      </c>
      <c r="DD4" s="94"/>
      <c r="DE4" s="94"/>
      <c r="DF4" s="94"/>
      <c r="DG4" s="94"/>
      <c r="DH4" s="94"/>
      <c r="DI4" s="95"/>
      <c r="DJ4" s="94">
        <f>DJ5</f>
        <v>46006</v>
      </c>
      <c r="DK4" s="94"/>
      <c r="DL4" s="94"/>
      <c r="DM4" s="94"/>
      <c r="DN4" s="94"/>
      <c r="DO4" s="94"/>
      <c r="DP4" s="95"/>
      <c r="DQ4" s="94">
        <f>DQ5</f>
        <v>46013</v>
      </c>
      <c r="DR4" s="94"/>
      <c r="DS4" s="94"/>
      <c r="DT4" s="94"/>
      <c r="DU4" s="94"/>
      <c r="DV4" s="94"/>
      <c r="DW4" s="95"/>
      <c r="DX4" s="94">
        <f>DX5</f>
        <v>46020</v>
      </c>
      <c r="DY4" s="94"/>
      <c r="DZ4" s="94"/>
      <c r="EA4" s="94"/>
      <c r="EB4" s="94"/>
      <c r="EC4" s="94"/>
      <c r="ED4" s="95"/>
      <c r="EE4" s="94">
        <f>EE5</f>
        <v>46027</v>
      </c>
      <c r="EF4" s="94"/>
      <c r="EG4" s="94"/>
      <c r="EH4" s="94"/>
      <c r="EI4" s="94"/>
      <c r="EJ4" s="94"/>
      <c r="EK4" s="95"/>
      <c r="EL4" s="94">
        <f>EL5</f>
        <v>46034</v>
      </c>
      <c r="EM4" s="94"/>
      <c r="EN4" s="94"/>
      <c r="EO4" s="94"/>
      <c r="EP4" s="94"/>
      <c r="EQ4" s="94"/>
      <c r="ER4" s="95"/>
      <c r="ES4" s="94">
        <f>ES5</f>
        <v>46041</v>
      </c>
      <c r="ET4" s="94"/>
      <c r="EU4" s="94"/>
      <c r="EV4" s="94"/>
      <c r="EW4" s="94"/>
      <c r="EX4" s="94"/>
      <c r="EY4" s="95"/>
      <c r="EZ4" s="94">
        <f>EZ5</f>
        <v>46048</v>
      </c>
      <c r="FA4" s="94"/>
      <c r="FB4" s="94"/>
      <c r="FC4" s="94"/>
      <c r="FD4" s="94"/>
      <c r="FE4" s="94"/>
      <c r="FF4" s="95"/>
      <c r="FG4" s="94">
        <f>FG5</f>
        <v>46055</v>
      </c>
      <c r="FH4" s="94"/>
      <c r="FI4" s="94"/>
      <c r="FJ4" s="94"/>
      <c r="FK4" s="94"/>
      <c r="FL4" s="94"/>
      <c r="FM4" s="95"/>
      <c r="FN4" s="94">
        <f>FN5</f>
        <v>46062</v>
      </c>
      <c r="FO4" s="94"/>
      <c r="FP4" s="94"/>
      <c r="FQ4" s="94"/>
      <c r="FR4" s="94"/>
      <c r="FS4" s="94"/>
      <c r="FT4" s="95"/>
      <c r="FU4" s="94">
        <f>FU5</f>
        <v>46069</v>
      </c>
      <c r="FV4" s="94"/>
      <c r="FW4" s="94"/>
      <c r="FX4" s="94"/>
      <c r="FY4" s="94"/>
      <c r="FZ4" s="94"/>
      <c r="GA4" s="95"/>
      <c r="GB4" s="94">
        <f>GB5</f>
        <v>46076</v>
      </c>
      <c r="GC4" s="94"/>
      <c r="GD4" s="94"/>
      <c r="GE4" s="94"/>
      <c r="GF4" s="94"/>
      <c r="GG4" s="94"/>
      <c r="GH4" s="95"/>
      <c r="GI4" s="94">
        <f>GI5</f>
        <v>46083</v>
      </c>
      <c r="GJ4" s="94"/>
      <c r="GK4" s="94"/>
      <c r="GL4" s="94"/>
      <c r="GM4" s="94"/>
      <c r="GN4" s="94"/>
      <c r="GO4" s="95"/>
      <c r="GP4" s="94">
        <f>GP5</f>
        <v>46090</v>
      </c>
      <c r="GQ4" s="94"/>
      <c r="GR4" s="94"/>
      <c r="GS4" s="94"/>
      <c r="GT4" s="94"/>
      <c r="GU4" s="94"/>
      <c r="GV4" s="95"/>
      <c r="GW4" s="94">
        <f>GW5</f>
        <v>46097</v>
      </c>
      <c r="GX4" s="94"/>
      <c r="GY4" s="94"/>
      <c r="GZ4" s="94"/>
      <c r="HA4" s="94"/>
      <c r="HB4" s="94"/>
      <c r="HC4" s="95"/>
      <c r="HD4" s="94">
        <f>HD5</f>
        <v>46104</v>
      </c>
      <c r="HE4" s="94"/>
      <c r="HF4" s="94"/>
      <c r="HG4" s="94"/>
      <c r="HH4" s="94"/>
      <c r="HI4" s="94"/>
      <c r="HJ4" s="95"/>
      <c r="HK4" s="94">
        <f>HK5</f>
        <v>46111</v>
      </c>
      <c r="HL4" s="94"/>
      <c r="HM4" s="94"/>
      <c r="HN4" s="94"/>
      <c r="HO4" s="94"/>
      <c r="HP4" s="94"/>
      <c r="HQ4" s="95"/>
      <c r="HR4" s="94">
        <f>HR5</f>
        <v>46118</v>
      </c>
      <c r="HS4" s="94"/>
      <c r="HT4" s="94"/>
      <c r="HU4" s="94"/>
      <c r="HV4" s="94"/>
      <c r="HW4" s="94"/>
      <c r="HX4" s="95"/>
      <c r="HY4" s="94">
        <f>HY5</f>
        <v>46125</v>
      </c>
      <c r="HZ4" s="94"/>
      <c r="IA4" s="94"/>
      <c r="IB4" s="94"/>
      <c r="IC4" s="94"/>
      <c r="ID4" s="94"/>
      <c r="IE4" s="95"/>
    </row>
    <row r="5" spans="1:239" s="23" customFormat="1" ht="15" customHeight="1" x14ac:dyDescent="0.2">
      <c r="A5" s="96"/>
      <c r="B5" s="97" t="s">
        <v>4</v>
      </c>
      <c r="C5" s="99" t="s">
        <v>21</v>
      </c>
      <c r="D5" s="101" t="s">
        <v>0</v>
      </c>
      <c r="E5" s="101" t="s">
        <v>2</v>
      </c>
      <c r="F5" s="101" t="s">
        <v>3</v>
      </c>
      <c r="I5" s="27">
        <f>Project_Start-WEEKDAY(Project_Start,1)+2+7*(Display_Week-1)</f>
        <v>45901</v>
      </c>
      <c r="J5" s="27">
        <f>I5+1</f>
        <v>45902</v>
      </c>
      <c r="K5" s="27">
        <f t="shared" ref="K5:AX5" si="0">J5+1</f>
        <v>45903</v>
      </c>
      <c r="L5" s="27">
        <f t="shared" si="0"/>
        <v>45904</v>
      </c>
      <c r="M5" s="27">
        <f t="shared" si="0"/>
        <v>45905</v>
      </c>
      <c r="N5" s="27">
        <f t="shared" si="0"/>
        <v>45906</v>
      </c>
      <c r="O5" s="28">
        <f t="shared" si="0"/>
        <v>45907</v>
      </c>
      <c r="P5" s="29">
        <f>O5+1</f>
        <v>45908</v>
      </c>
      <c r="Q5" s="27">
        <f>P5+1</f>
        <v>45909</v>
      </c>
      <c r="R5" s="27">
        <f t="shared" si="0"/>
        <v>45910</v>
      </c>
      <c r="S5" s="27">
        <f t="shared" si="0"/>
        <v>45911</v>
      </c>
      <c r="T5" s="27">
        <f t="shared" si="0"/>
        <v>45912</v>
      </c>
      <c r="U5" s="27">
        <f t="shared" si="0"/>
        <v>45913</v>
      </c>
      <c r="V5" s="28">
        <f t="shared" si="0"/>
        <v>45914</v>
      </c>
      <c r="W5" s="29">
        <f>V5+1</f>
        <v>45915</v>
      </c>
      <c r="X5" s="27">
        <f>W5+1</f>
        <v>45916</v>
      </c>
      <c r="Y5" s="27">
        <f t="shared" si="0"/>
        <v>45917</v>
      </c>
      <c r="Z5" s="27">
        <f t="shared" si="0"/>
        <v>45918</v>
      </c>
      <c r="AA5" s="27">
        <f t="shared" si="0"/>
        <v>45919</v>
      </c>
      <c r="AB5" s="27">
        <f t="shared" si="0"/>
        <v>45920</v>
      </c>
      <c r="AC5" s="28">
        <f t="shared" si="0"/>
        <v>45921</v>
      </c>
      <c r="AD5" s="29">
        <f>AC5+1</f>
        <v>45922</v>
      </c>
      <c r="AE5" s="27">
        <f>AD5+1</f>
        <v>45923</v>
      </c>
      <c r="AF5" s="27">
        <f t="shared" si="0"/>
        <v>45924</v>
      </c>
      <c r="AG5" s="27">
        <f t="shared" si="0"/>
        <v>45925</v>
      </c>
      <c r="AH5" s="27">
        <f t="shared" si="0"/>
        <v>45926</v>
      </c>
      <c r="AI5" s="27">
        <f t="shared" si="0"/>
        <v>45927</v>
      </c>
      <c r="AJ5" s="28">
        <f t="shared" si="0"/>
        <v>45928</v>
      </c>
      <c r="AK5" s="29">
        <f>AJ5+1</f>
        <v>45929</v>
      </c>
      <c r="AL5" s="27">
        <f>AK5+1</f>
        <v>45930</v>
      </c>
      <c r="AM5" s="27">
        <f t="shared" si="0"/>
        <v>45931</v>
      </c>
      <c r="AN5" s="27">
        <f t="shared" si="0"/>
        <v>45932</v>
      </c>
      <c r="AO5" s="27">
        <f t="shared" si="0"/>
        <v>45933</v>
      </c>
      <c r="AP5" s="27">
        <f t="shared" si="0"/>
        <v>45934</v>
      </c>
      <c r="AQ5" s="28">
        <f t="shared" si="0"/>
        <v>45935</v>
      </c>
      <c r="AR5" s="29">
        <f>AQ5+1</f>
        <v>45936</v>
      </c>
      <c r="AS5" s="27">
        <f>AR5+1</f>
        <v>45937</v>
      </c>
      <c r="AT5" s="27">
        <f t="shared" si="0"/>
        <v>45938</v>
      </c>
      <c r="AU5" s="27">
        <f t="shared" si="0"/>
        <v>45939</v>
      </c>
      <c r="AV5" s="27">
        <f t="shared" si="0"/>
        <v>45940</v>
      </c>
      <c r="AW5" s="27">
        <f t="shared" si="0"/>
        <v>45941</v>
      </c>
      <c r="AX5" s="28">
        <f t="shared" si="0"/>
        <v>45942</v>
      </c>
      <c r="AY5" s="29">
        <f t="shared" ref="AY5:BS5" si="1">AX5+1</f>
        <v>45943</v>
      </c>
      <c r="AZ5" s="27">
        <f t="shared" si="1"/>
        <v>45944</v>
      </c>
      <c r="BA5" s="27">
        <f t="shared" si="1"/>
        <v>45945</v>
      </c>
      <c r="BB5" s="27">
        <f t="shared" si="1"/>
        <v>45946</v>
      </c>
      <c r="BC5" s="27">
        <f t="shared" si="1"/>
        <v>45947</v>
      </c>
      <c r="BD5" s="27">
        <f t="shared" si="1"/>
        <v>45948</v>
      </c>
      <c r="BE5" s="28">
        <f t="shared" si="1"/>
        <v>45949</v>
      </c>
      <c r="BF5" s="29">
        <f t="shared" si="1"/>
        <v>45950</v>
      </c>
      <c r="BG5" s="27">
        <f t="shared" si="1"/>
        <v>45951</v>
      </c>
      <c r="BH5" s="27">
        <f t="shared" si="1"/>
        <v>45952</v>
      </c>
      <c r="BI5" s="27">
        <f t="shared" si="1"/>
        <v>45953</v>
      </c>
      <c r="BJ5" s="27">
        <f t="shared" si="1"/>
        <v>45954</v>
      </c>
      <c r="BK5" s="27">
        <f t="shared" si="1"/>
        <v>45955</v>
      </c>
      <c r="BL5" s="27">
        <f t="shared" si="1"/>
        <v>45956</v>
      </c>
      <c r="BM5" s="29">
        <f t="shared" si="1"/>
        <v>45957</v>
      </c>
      <c r="BN5" s="27">
        <f t="shared" si="1"/>
        <v>45958</v>
      </c>
      <c r="BO5" s="27">
        <f t="shared" si="1"/>
        <v>45959</v>
      </c>
      <c r="BP5" s="27">
        <f t="shared" si="1"/>
        <v>45960</v>
      </c>
      <c r="BQ5" s="27">
        <f t="shared" si="1"/>
        <v>45961</v>
      </c>
      <c r="BR5" s="27">
        <f t="shared" si="1"/>
        <v>45962</v>
      </c>
      <c r="BS5" s="27">
        <f t="shared" si="1"/>
        <v>45963</v>
      </c>
      <c r="BT5" s="29">
        <f t="shared" ref="BT5:EE5" si="2">BS5+1</f>
        <v>45964</v>
      </c>
      <c r="BU5" s="27">
        <f t="shared" si="2"/>
        <v>45965</v>
      </c>
      <c r="BV5" s="27">
        <f t="shared" si="2"/>
        <v>45966</v>
      </c>
      <c r="BW5" s="27">
        <f t="shared" si="2"/>
        <v>45967</v>
      </c>
      <c r="BX5" s="27">
        <f t="shared" si="2"/>
        <v>45968</v>
      </c>
      <c r="BY5" s="27">
        <f t="shared" si="2"/>
        <v>45969</v>
      </c>
      <c r="BZ5" s="27">
        <f t="shared" si="2"/>
        <v>45970</v>
      </c>
      <c r="CA5" s="29">
        <f t="shared" si="2"/>
        <v>45971</v>
      </c>
      <c r="CB5" s="27">
        <f t="shared" si="2"/>
        <v>45972</v>
      </c>
      <c r="CC5" s="27">
        <f t="shared" si="2"/>
        <v>45973</v>
      </c>
      <c r="CD5" s="27">
        <f t="shared" si="2"/>
        <v>45974</v>
      </c>
      <c r="CE5" s="27">
        <f t="shared" si="2"/>
        <v>45975</v>
      </c>
      <c r="CF5" s="27">
        <f t="shared" si="2"/>
        <v>45976</v>
      </c>
      <c r="CG5" s="27">
        <f t="shared" si="2"/>
        <v>45977</v>
      </c>
      <c r="CH5" s="29">
        <f t="shared" si="2"/>
        <v>45978</v>
      </c>
      <c r="CI5" s="27">
        <f t="shared" si="2"/>
        <v>45979</v>
      </c>
      <c r="CJ5" s="27">
        <f t="shared" si="2"/>
        <v>45980</v>
      </c>
      <c r="CK5" s="27">
        <f t="shared" si="2"/>
        <v>45981</v>
      </c>
      <c r="CL5" s="27">
        <f t="shared" si="2"/>
        <v>45982</v>
      </c>
      <c r="CM5" s="27">
        <f t="shared" si="2"/>
        <v>45983</v>
      </c>
      <c r="CN5" s="27">
        <f t="shared" si="2"/>
        <v>45984</v>
      </c>
      <c r="CO5" s="29">
        <f t="shared" si="2"/>
        <v>45985</v>
      </c>
      <c r="CP5" s="27">
        <f t="shared" si="2"/>
        <v>45986</v>
      </c>
      <c r="CQ5" s="27">
        <f t="shared" si="2"/>
        <v>45987</v>
      </c>
      <c r="CR5" s="27">
        <f t="shared" si="2"/>
        <v>45988</v>
      </c>
      <c r="CS5" s="27">
        <f t="shared" si="2"/>
        <v>45989</v>
      </c>
      <c r="CT5" s="27">
        <f t="shared" si="2"/>
        <v>45990</v>
      </c>
      <c r="CU5" s="27">
        <f t="shared" si="2"/>
        <v>45991</v>
      </c>
      <c r="CV5" s="29">
        <f t="shared" si="2"/>
        <v>45992</v>
      </c>
      <c r="CW5" s="27">
        <f t="shared" si="2"/>
        <v>45993</v>
      </c>
      <c r="CX5" s="27">
        <f t="shared" si="2"/>
        <v>45994</v>
      </c>
      <c r="CY5" s="27">
        <f t="shared" si="2"/>
        <v>45995</v>
      </c>
      <c r="CZ5" s="27">
        <f t="shared" si="2"/>
        <v>45996</v>
      </c>
      <c r="DA5" s="27">
        <f t="shared" si="2"/>
        <v>45997</v>
      </c>
      <c r="DB5" s="27">
        <f t="shared" si="2"/>
        <v>45998</v>
      </c>
      <c r="DC5" s="29">
        <f t="shared" si="2"/>
        <v>45999</v>
      </c>
      <c r="DD5" s="27">
        <f t="shared" si="2"/>
        <v>46000</v>
      </c>
      <c r="DE5" s="27">
        <f t="shared" si="2"/>
        <v>46001</v>
      </c>
      <c r="DF5" s="27">
        <f t="shared" si="2"/>
        <v>46002</v>
      </c>
      <c r="DG5" s="27">
        <f t="shared" si="2"/>
        <v>46003</v>
      </c>
      <c r="DH5" s="27">
        <f t="shared" si="2"/>
        <v>46004</v>
      </c>
      <c r="DI5" s="27">
        <f t="shared" si="2"/>
        <v>46005</v>
      </c>
      <c r="DJ5" s="29">
        <f t="shared" si="2"/>
        <v>46006</v>
      </c>
      <c r="DK5" s="27">
        <f t="shared" si="2"/>
        <v>46007</v>
      </c>
      <c r="DL5" s="27">
        <f t="shared" si="2"/>
        <v>46008</v>
      </c>
      <c r="DM5" s="27">
        <f t="shared" si="2"/>
        <v>46009</v>
      </c>
      <c r="DN5" s="27">
        <f t="shared" si="2"/>
        <v>46010</v>
      </c>
      <c r="DO5" s="27">
        <f t="shared" si="2"/>
        <v>46011</v>
      </c>
      <c r="DP5" s="27">
        <f t="shared" si="2"/>
        <v>46012</v>
      </c>
      <c r="DQ5" s="29">
        <f t="shared" si="2"/>
        <v>46013</v>
      </c>
      <c r="DR5" s="27">
        <f t="shared" si="2"/>
        <v>46014</v>
      </c>
      <c r="DS5" s="27">
        <f t="shared" si="2"/>
        <v>46015</v>
      </c>
      <c r="DT5" s="27">
        <f t="shared" si="2"/>
        <v>46016</v>
      </c>
      <c r="DU5" s="27">
        <f t="shared" si="2"/>
        <v>46017</v>
      </c>
      <c r="DV5" s="27">
        <f t="shared" si="2"/>
        <v>46018</v>
      </c>
      <c r="DW5" s="27">
        <f t="shared" si="2"/>
        <v>46019</v>
      </c>
      <c r="DX5" s="29">
        <f t="shared" si="2"/>
        <v>46020</v>
      </c>
      <c r="DY5" s="27">
        <f t="shared" si="2"/>
        <v>46021</v>
      </c>
      <c r="DZ5" s="27">
        <f t="shared" si="2"/>
        <v>46022</v>
      </c>
      <c r="EA5" s="27">
        <f t="shared" si="2"/>
        <v>46023</v>
      </c>
      <c r="EB5" s="27">
        <f t="shared" si="2"/>
        <v>46024</v>
      </c>
      <c r="EC5" s="27">
        <f t="shared" si="2"/>
        <v>46025</v>
      </c>
      <c r="ED5" s="27">
        <f t="shared" si="2"/>
        <v>46026</v>
      </c>
      <c r="EE5" s="29">
        <f t="shared" si="2"/>
        <v>46027</v>
      </c>
      <c r="EF5" s="27">
        <f t="shared" ref="EF5:EL5" si="3">EE5+1</f>
        <v>46028</v>
      </c>
      <c r="EG5" s="27">
        <f t="shared" si="3"/>
        <v>46029</v>
      </c>
      <c r="EH5" s="27">
        <f t="shared" si="3"/>
        <v>46030</v>
      </c>
      <c r="EI5" s="27">
        <f t="shared" si="3"/>
        <v>46031</v>
      </c>
      <c r="EJ5" s="27">
        <f t="shared" si="3"/>
        <v>46032</v>
      </c>
      <c r="EK5" s="27">
        <f t="shared" si="3"/>
        <v>46033</v>
      </c>
      <c r="EL5" s="29">
        <f t="shared" si="3"/>
        <v>46034</v>
      </c>
      <c r="EM5" s="27">
        <f t="shared" ref="EM5:FT5" si="4">EL5+1</f>
        <v>46035</v>
      </c>
      <c r="EN5" s="27">
        <f t="shared" si="4"/>
        <v>46036</v>
      </c>
      <c r="EO5" s="27">
        <f t="shared" si="4"/>
        <v>46037</v>
      </c>
      <c r="EP5" s="27">
        <f t="shared" si="4"/>
        <v>46038</v>
      </c>
      <c r="EQ5" s="27">
        <f t="shared" si="4"/>
        <v>46039</v>
      </c>
      <c r="ER5" s="27">
        <f t="shared" si="4"/>
        <v>46040</v>
      </c>
      <c r="ES5" s="29">
        <f t="shared" si="4"/>
        <v>46041</v>
      </c>
      <c r="ET5" s="27">
        <f t="shared" si="4"/>
        <v>46042</v>
      </c>
      <c r="EU5" s="27">
        <f t="shared" si="4"/>
        <v>46043</v>
      </c>
      <c r="EV5" s="27">
        <f t="shared" si="4"/>
        <v>46044</v>
      </c>
      <c r="EW5" s="27">
        <f t="shared" si="4"/>
        <v>46045</v>
      </c>
      <c r="EX5" s="27">
        <f t="shared" si="4"/>
        <v>46046</v>
      </c>
      <c r="EY5" s="27">
        <f t="shared" si="4"/>
        <v>46047</v>
      </c>
      <c r="EZ5" s="29">
        <f t="shared" si="4"/>
        <v>46048</v>
      </c>
      <c r="FA5" s="27">
        <f t="shared" si="4"/>
        <v>46049</v>
      </c>
      <c r="FB5" s="27">
        <f t="shared" si="4"/>
        <v>46050</v>
      </c>
      <c r="FC5" s="27">
        <f t="shared" si="4"/>
        <v>46051</v>
      </c>
      <c r="FD5" s="27">
        <f t="shared" si="4"/>
        <v>46052</v>
      </c>
      <c r="FE5" s="27">
        <f t="shared" si="4"/>
        <v>46053</v>
      </c>
      <c r="FF5" s="27">
        <f t="shared" si="4"/>
        <v>46054</v>
      </c>
      <c r="FG5" s="29">
        <f t="shared" si="4"/>
        <v>46055</v>
      </c>
      <c r="FH5" s="27">
        <f t="shared" si="4"/>
        <v>46056</v>
      </c>
      <c r="FI5" s="27">
        <f t="shared" si="4"/>
        <v>46057</v>
      </c>
      <c r="FJ5" s="27">
        <f t="shared" si="4"/>
        <v>46058</v>
      </c>
      <c r="FK5" s="27">
        <f t="shared" si="4"/>
        <v>46059</v>
      </c>
      <c r="FL5" s="27">
        <f t="shared" si="4"/>
        <v>46060</v>
      </c>
      <c r="FM5" s="27">
        <f t="shared" si="4"/>
        <v>46061</v>
      </c>
      <c r="FN5" s="29">
        <f t="shared" si="4"/>
        <v>46062</v>
      </c>
      <c r="FO5" s="27">
        <f t="shared" si="4"/>
        <v>46063</v>
      </c>
      <c r="FP5" s="27">
        <f t="shared" si="4"/>
        <v>46064</v>
      </c>
      <c r="FQ5" s="27">
        <f t="shared" si="4"/>
        <v>46065</v>
      </c>
      <c r="FR5" s="27">
        <f t="shared" si="4"/>
        <v>46066</v>
      </c>
      <c r="FS5" s="27">
        <f t="shared" si="4"/>
        <v>46067</v>
      </c>
      <c r="FT5" s="27">
        <f t="shared" si="4"/>
        <v>46068</v>
      </c>
      <c r="FU5" s="29">
        <f t="shared" ref="FU5:GO5" si="5">FT5+1</f>
        <v>46069</v>
      </c>
      <c r="FV5" s="27">
        <f t="shared" si="5"/>
        <v>46070</v>
      </c>
      <c r="FW5" s="27">
        <f t="shared" si="5"/>
        <v>46071</v>
      </c>
      <c r="FX5" s="27">
        <f t="shared" si="5"/>
        <v>46072</v>
      </c>
      <c r="FY5" s="27">
        <f t="shared" si="5"/>
        <v>46073</v>
      </c>
      <c r="FZ5" s="27">
        <f t="shared" si="5"/>
        <v>46074</v>
      </c>
      <c r="GA5" s="27">
        <f t="shared" si="5"/>
        <v>46075</v>
      </c>
      <c r="GB5" s="29">
        <f t="shared" si="5"/>
        <v>46076</v>
      </c>
      <c r="GC5" s="27">
        <f t="shared" si="5"/>
        <v>46077</v>
      </c>
      <c r="GD5" s="27">
        <f t="shared" si="5"/>
        <v>46078</v>
      </c>
      <c r="GE5" s="27">
        <f t="shared" si="5"/>
        <v>46079</v>
      </c>
      <c r="GF5" s="27">
        <f t="shared" si="5"/>
        <v>46080</v>
      </c>
      <c r="GG5" s="27">
        <f t="shared" si="5"/>
        <v>46081</v>
      </c>
      <c r="GH5" s="27">
        <f t="shared" si="5"/>
        <v>46082</v>
      </c>
      <c r="GI5" s="29">
        <f t="shared" si="5"/>
        <v>46083</v>
      </c>
      <c r="GJ5" s="27">
        <f t="shared" si="5"/>
        <v>46084</v>
      </c>
      <c r="GK5" s="27">
        <f t="shared" si="5"/>
        <v>46085</v>
      </c>
      <c r="GL5" s="27">
        <f t="shared" si="5"/>
        <v>46086</v>
      </c>
      <c r="GM5" s="27">
        <f t="shared" si="5"/>
        <v>46087</v>
      </c>
      <c r="GN5" s="27">
        <f t="shared" si="5"/>
        <v>46088</v>
      </c>
      <c r="GO5" s="27">
        <f t="shared" si="5"/>
        <v>46089</v>
      </c>
      <c r="GP5" s="29">
        <f t="shared" ref="GP5:IE5" si="6">GO5+1</f>
        <v>46090</v>
      </c>
      <c r="GQ5" s="27">
        <f t="shared" si="6"/>
        <v>46091</v>
      </c>
      <c r="GR5" s="27">
        <f t="shared" si="6"/>
        <v>46092</v>
      </c>
      <c r="GS5" s="27">
        <f t="shared" si="6"/>
        <v>46093</v>
      </c>
      <c r="GT5" s="27">
        <f t="shared" si="6"/>
        <v>46094</v>
      </c>
      <c r="GU5" s="27">
        <f t="shared" si="6"/>
        <v>46095</v>
      </c>
      <c r="GV5" s="27">
        <f t="shared" si="6"/>
        <v>46096</v>
      </c>
      <c r="GW5" s="29">
        <f t="shared" si="6"/>
        <v>46097</v>
      </c>
      <c r="GX5" s="27">
        <f t="shared" si="6"/>
        <v>46098</v>
      </c>
      <c r="GY5" s="27">
        <f t="shared" si="6"/>
        <v>46099</v>
      </c>
      <c r="GZ5" s="27">
        <f t="shared" si="6"/>
        <v>46100</v>
      </c>
      <c r="HA5" s="27">
        <f t="shared" si="6"/>
        <v>46101</v>
      </c>
      <c r="HB5" s="27">
        <f t="shared" si="6"/>
        <v>46102</v>
      </c>
      <c r="HC5" s="27">
        <f t="shared" si="6"/>
        <v>46103</v>
      </c>
      <c r="HD5" s="29">
        <f t="shared" si="6"/>
        <v>46104</v>
      </c>
      <c r="HE5" s="27">
        <f t="shared" si="6"/>
        <v>46105</v>
      </c>
      <c r="HF5" s="27">
        <f t="shared" si="6"/>
        <v>46106</v>
      </c>
      <c r="HG5" s="27">
        <f t="shared" si="6"/>
        <v>46107</v>
      </c>
      <c r="HH5" s="27">
        <f t="shared" si="6"/>
        <v>46108</v>
      </c>
      <c r="HI5" s="27">
        <f t="shared" si="6"/>
        <v>46109</v>
      </c>
      <c r="HJ5" s="27">
        <f t="shared" si="6"/>
        <v>46110</v>
      </c>
      <c r="HK5" s="29">
        <f t="shared" si="6"/>
        <v>46111</v>
      </c>
      <c r="HL5" s="27">
        <f t="shared" si="6"/>
        <v>46112</v>
      </c>
      <c r="HM5" s="27">
        <f t="shared" si="6"/>
        <v>46113</v>
      </c>
      <c r="HN5" s="27">
        <f t="shared" si="6"/>
        <v>46114</v>
      </c>
      <c r="HO5" s="27">
        <f t="shared" si="6"/>
        <v>46115</v>
      </c>
      <c r="HP5" s="27">
        <f t="shared" si="6"/>
        <v>46116</v>
      </c>
      <c r="HQ5" s="27">
        <f t="shared" si="6"/>
        <v>46117</v>
      </c>
      <c r="HR5" s="29">
        <f t="shared" si="6"/>
        <v>46118</v>
      </c>
      <c r="HS5" s="27">
        <f t="shared" si="6"/>
        <v>46119</v>
      </c>
      <c r="HT5" s="27">
        <f t="shared" si="6"/>
        <v>46120</v>
      </c>
      <c r="HU5" s="27">
        <f t="shared" si="6"/>
        <v>46121</v>
      </c>
      <c r="HV5" s="27">
        <f t="shared" si="6"/>
        <v>46122</v>
      </c>
      <c r="HW5" s="27">
        <f t="shared" si="6"/>
        <v>46123</v>
      </c>
      <c r="HX5" s="27">
        <f t="shared" si="6"/>
        <v>46124</v>
      </c>
      <c r="HY5" s="29">
        <f t="shared" si="6"/>
        <v>46125</v>
      </c>
      <c r="HZ5" s="27">
        <f t="shared" si="6"/>
        <v>46126</v>
      </c>
      <c r="IA5" s="27">
        <f t="shared" si="6"/>
        <v>46127</v>
      </c>
      <c r="IB5" s="27">
        <f t="shared" si="6"/>
        <v>46128</v>
      </c>
      <c r="IC5" s="27">
        <f t="shared" si="6"/>
        <v>46129</v>
      </c>
      <c r="ID5" s="27">
        <f t="shared" si="6"/>
        <v>46130</v>
      </c>
      <c r="IE5" s="27">
        <f t="shared" si="6"/>
        <v>46131</v>
      </c>
    </row>
    <row r="6" spans="1:239" s="23" customFormat="1" ht="15" customHeight="1" thickBot="1" x14ac:dyDescent="0.25">
      <c r="A6" s="96"/>
      <c r="B6" s="98"/>
      <c r="C6" s="100"/>
      <c r="D6" s="100"/>
      <c r="E6" s="100"/>
      <c r="F6" s="100"/>
      <c r="I6" s="30" t="str">
        <f t="shared" ref="I6:AN6" si="7">LEFT(TEXT(I5,"ddd"),1)</f>
        <v>M</v>
      </c>
      <c r="J6" s="31" t="str">
        <f t="shared" si="7"/>
        <v>T</v>
      </c>
      <c r="K6" s="31" t="str">
        <f t="shared" si="7"/>
        <v>W</v>
      </c>
      <c r="L6" s="31" t="str">
        <f t="shared" si="7"/>
        <v>T</v>
      </c>
      <c r="M6" s="31" t="str">
        <f t="shared" si="7"/>
        <v>F</v>
      </c>
      <c r="N6" s="31" t="str">
        <f t="shared" si="7"/>
        <v>S</v>
      </c>
      <c r="O6" s="31" t="str">
        <f t="shared" si="7"/>
        <v>S</v>
      </c>
      <c r="P6" s="31" t="str">
        <f t="shared" si="7"/>
        <v>M</v>
      </c>
      <c r="Q6" s="31" t="str">
        <f t="shared" si="7"/>
        <v>T</v>
      </c>
      <c r="R6" s="31" t="str">
        <f t="shared" si="7"/>
        <v>W</v>
      </c>
      <c r="S6" s="31" t="str">
        <f t="shared" si="7"/>
        <v>T</v>
      </c>
      <c r="T6" s="31" t="str">
        <f t="shared" si="7"/>
        <v>F</v>
      </c>
      <c r="U6" s="31" t="str">
        <f t="shared" si="7"/>
        <v>S</v>
      </c>
      <c r="V6" s="31" t="str">
        <f t="shared" si="7"/>
        <v>S</v>
      </c>
      <c r="W6" s="31" t="str">
        <f t="shared" si="7"/>
        <v>M</v>
      </c>
      <c r="X6" s="31" t="str">
        <f t="shared" si="7"/>
        <v>T</v>
      </c>
      <c r="Y6" s="31" t="str">
        <f t="shared" si="7"/>
        <v>W</v>
      </c>
      <c r="Z6" s="31" t="str">
        <f t="shared" si="7"/>
        <v>T</v>
      </c>
      <c r="AA6" s="31" t="str">
        <f t="shared" si="7"/>
        <v>F</v>
      </c>
      <c r="AB6" s="31" t="str">
        <f t="shared" si="7"/>
        <v>S</v>
      </c>
      <c r="AC6" s="31" t="str">
        <f t="shared" si="7"/>
        <v>S</v>
      </c>
      <c r="AD6" s="31" t="str">
        <f t="shared" si="7"/>
        <v>M</v>
      </c>
      <c r="AE6" s="31" t="str">
        <f t="shared" si="7"/>
        <v>T</v>
      </c>
      <c r="AF6" s="31" t="str">
        <f t="shared" si="7"/>
        <v>W</v>
      </c>
      <c r="AG6" s="31" t="str">
        <f t="shared" si="7"/>
        <v>T</v>
      </c>
      <c r="AH6" s="31" t="str">
        <f t="shared" si="7"/>
        <v>F</v>
      </c>
      <c r="AI6" s="31" t="str">
        <f t="shared" si="7"/>
        <v>S</v>
      </c>
      <c r="AJ6" s="31" t="str">
        <f t="shared" si="7"/>
        <v>S</v>
      </c>
      <c r="AK6" s="31" t="str">
        <f t="shared" si="7"/>
        <v>M</v>
      </c>
      <c r="AL6" s="31" t="str">
        <f t="shared" si="7"/>
        <v>T</v>
      </c>
      <c r="AM6" s="31" t="str">
        <f t="shared" si="7"/>
        <v>W</v>
      </c>
      <c r="AN6" s="31" t="str">
        <f t="shared" si="7"/>
        <v>T</v>
      </c>
      <c r="AO6" s="31" t="str">
        <f t="shared" ref="AO6:BL6" si="8">LEFT(TEXT(AO5,"ddd"),1)</f>
        <v>F</v>
      </c>
      <c r="AP6" s="31" t="str">
        <f t="shared" si="8"/>
        <v>S</v>
      </c>
      <c r="AQ6" s="31" t="str">
        <f t="shared" si="8"/>
        <v>S</v>
      </c>
      <c r="AR6" s="31" t="str">
        <f t="shared" si="8"/>
        <v>M</v>
      </c>
      <c r="AS6" s="31" t="str">
        <f t="shared" si="8"/>
        <v>T</v>
      </c>
      <c r="AT6" s="31" t="str">
        <f t="shared" si="8"/>
        <v>W</v>
      </c>
      <c r="AU6" s="31" t="str">
        <f t="shared" si="8"/>
        <v>T</v>
      </c>
      <c r="AV6" s="31" t="str">
        <f t="shared" si="8"/>
        <v>F</v>
      </c>
      <c r="AW6" s="31" t="str">
        <f t="shared" si="8"/>
        <v>S</v>
      </c>
      <c r="AX6" s="31" t="str">
        <f t="shared" si="8"/>
        <v>S</v>
      </c>
      <c r="AY6" s="31" t="str">
        <f t="shared" si="8"/>
        <v>M</v>
      </c>
      <c r="AZ6" s="31" t="str">
        <f t="shared" si="8"/>
        <v>T</v>
      </c>
      <c r="BA6" s="31" t="str">
        <f t="shared" si="8"/>
        <v>W</v>
      </c>
      <c r="BB6" s="31" t="str">
        <f t="shared" si="8"/>
        <v>T</v>
      </c>
      <c r="BC6" s="31" t="str">
        <f t="shared" si="8"/>
        <v>F</v>
      </c>
      <c r="BD6" s="31" t="str">
        <f t="shared" si="8"/>
        <v>S</v>
      </c>
      <c r="BE6" s="31" t="str">
        <f t="shared" si="8"/>
        <v>S</v>
      </c>
      <c r="BF6" s="31" t="str">
        <f t="shared" si="8"/>
        <v>M</v>
      </c>
      <c r="BG6" s="31" t="str">
        <f t="shared" si="8"/>
        <v>T</v>
      </c>
      <c r="BH6" s="31" t="str">
        <f t="shared" si="8"/>
        <v>W</v>
      </c>
      <c r="BI6" s="31" t="str">
        <f t="shared" si="8"/>
        <v>T</v>
      </c>
      <c r="BJ6" s="31" t="str">
        <f t="shared" si="8"/>
        <v>F</v>
      </c>
      <c r="BK6" s="31" t="str">
        <f t="shared" si="8"/>
        <v>S</v>
      </c>
      <c r="BL6" s="32" t="str">
        <f t="shared" si="8"/>
        <v>S</v>
      </c>
      <c r="BM6" s="31" t="str">
        <f t="shared" ref="BM6:BS6" si="9">LEFT(TEXT(BM5,"ddd"),1)</f>
        <v>M</v>
      </c>
      <c r="BN6" s="31" t="str">
        <f t="shared" si="9"/>
        <v>T</v>
      </c>
      <c r="BO6" s="31" t="str">
        <f t="shared" si="9"/>
        <v>W</v>
      </c>
      <c r="BP6" s="31" t="str">
        <f t="shared" si="9"/>
        <v>T</v>
      </c>
      <c r="BQ6" s="31" t="str">
        <f t="shared" si="9"/>
        <v>F</v>
      </c>
      <c r="BR6" s="31" t="str">
        <f t="shared" si="9"/>
        <v>S</v>
      </c>
      <c r="BS6" s="32" t="str">
        <f t="shared" si="9"/>
        <v>S</v>
      </c>
      <c r="BT6" s="31" t="str">
        <f t="shared" ref="BT6:EE6" si="10">LEFT(TEXT(BT5,"ddd"),1)</f>
        <v>M</v>
      </c>
      <c r="BU6" s="31" t="str">
        <f t="shared" si="10"/>
        <v>T</v>
      </c>
      <c r="BV6" s="31" t="str">
        <f t="shared" si="10"/>
        <v>W</v>
      </c>
      <c r="BW6" s="31" t="str">
        <f t="shared" si="10"/>
        <v>T</v>
      </c>
      <c r="BX6" s="31" t="str">
        <f t="shared" si="10"/>
        <v>F</v>
      </c>
      <c r="BY6" s="31" t="str">
        <f t="shared" si="10"/>
        <v>S</v>
      </c>
      <c r="BZ6" s="32" t="str">
        <f t="shared" si="10"/>
        <v>S</v>
      </c>
      <c r="CA6" s="31" t="str">
        <f t="shared" si="10"/>
        <v>M</v>
      </c>
      <c r="CB6" s="31" t="str">
        <f t="shared" si="10"/>
        <v>T</v>
      </c>
      <c r="CC6" s="31" t="str">
        <f t="shared" si="10"/>
        <v>W</v>
      </c>
      <c r="CD6" s="31" t="str">
        <f t="shared" si="10"/>
        <v>T</v>
      </c>
      <c r="CE6" s="31" t="str">
        <f t="shared" si="10"/>
        <v>F</v>
      </c>
      <c r="CF6" s="31" t="str">
        <f t="shared" si="10"/>
        <v>S</v>
      </c>
      <c r="CG6" s="32" t="str">
        <f t="shared" si="10"/>
        <v>S</v>
      </c>
      <c r="CH6" s="31" t="str">
        <f t="shared" si="10"/>
        <v>M</v>
      </c>
      <c r="CI6" s="31" t="str">
        <f t="shared" si="10"/>
        <v>T</v>
      </c>
      <c r="CJ6" s="31" t="str">
        <f t="shared" si="10"/>
        <v>W</v>
      </c>
      <c r="CK6" s="31" t="str">
        <f t="shared" si="10"/>
        <v>T</v>
      </c>
      <c r="CL6" s="31" t="str">
        <f t="shared" si="10"/>
        <v>F</v>
      </c>
      <c r="CM6" s="31" t="str">
        <f t="shared" si="10"/>
        <v>S</v>
      </c>
      <c r="CN6" s="32" t="str">
        <f t="shared" si="10"/>
        <v>S</v>
      </c>
      <c r="CO6" s="31" t="str">
        <f t="shared" si="10"/>
        <v>M</v>
      </c>
      <c r="CP6" s="31" t="str">
        <f t="shared" si="10"/>
        <v>T</v>
      </c>
      <c r="CQ6" s="31" t="str">
        <f t="shared" si="10"/>
        <v>W</v>
      </c>
      <c r="CR6" s="31" t="str">
        <f t="shared" si="10"/>
        <v>T</v>
      </c>
      <c r="CS6" s="31" t="str">
        <f t="shared" si="10"/>
        <v>F</v>
      </c>
      <c r="CT6" s="31" t="str">
        <f t="shared" si="10"/>
        <v>S</v>
      </c>
      <c r="CU6" s="32" t="str">
        <f t="shared" si="10"/>
        <v>S</v>
      </c>
      <c r="CV6" s="31" t="str">
        <f t="shared" si="10"/>
        <v>M</v>
      </c>
      <c r="CW6" s="31" t="str">
        <f t="shared" si="10"/>
        <v>T</v>
      </c>
      <c r="CX6" s="31" t="str">
        <f t="shared" si="10"/>
        <v>W</v>
      </c>
      <c r="CY6" s="31" t="str">
        <f t="shared" si="10"/>
        <v>T</v>
      </c>
      <c r="CZ6" s="31" t="str">
        <f t="shared" si="10"/>
        <v>F</v>
      </c>
      <c r="DA6" s="31" t="str">
        <f t="shared" si="10"/>
        <v>S</v>
      </c>
      <c r="DB6" s="32" t="str">
        <f t="shared" si="10"/>
        <v>S</v>
      </c>
      <c r="DC6" s="31" t="str">
        <f t="shared" si="10"/>
        <v>M</v>
      </c>
      <c r="DD6" s="31" t="str">
        <f t="shared" si="10"/>
        <v>T</v>
      </c>
      <c r="DE6" s="31" t="str">
        <f t="shared" si="10"/>
        <v>W</v>
      </c>
      <c r="DF6" s="31" t="str">
        <f t="shared" si="10"/>
        <v>T</v>
      </c>
      <c r="DG6" s="31" t="str">
        <f t="shared" si="10"/>
        <v>F</v>
      </c>
      <c r="DH6" s="31" t="str">
        <f t="shared" si="10"/>
        <v>S</v>
      </c>
      <c r="DI6" s="32" t="str">
        <f t="shared" si="10"/>
        <v>S</v>
      </c>
      <c r="DJ6" s="31" t="str">
        <f t="shared" si="10"/>
        <v>M</v>
      </c>
      <c r="DK6" s="31" t="str">
        <f t="shared" si="10"/>
        <v>T</v>
      </c>
      <c r="DL6" s="31" t="str">
        <f t="shared" si="10"/>
        <v>W</v>
      </c>
      <c r="DM6" s="31" t="str">
        <f t="shared" si="10"/>
        <v>T</v>
      </c>
      <c r="DN6" s="31" t="str">
        <f t="shared" si="10"/>
        <v>F</v>
      </c>
      <c r="DO6" s="31" t="str">
        <f t="shared" si="10"/>
        <v>S</v>
      </c>
      <c r="DP6" s="32" t="str">
        <f t="shared" si="10"/>
        <v>S</v>
      </c>
      <c r="DQ6" s="31" t="str">
        <f t="shared" si="10"/>
        <v>M</v>
      </c>
      <c r="DR6" s="31" t="str">
        <f t="shared" si="10"/>
        <v>T</v>
      </c>
      <c r="DS6" s="31" t="str">
        <f t="shared" si="10"/>
        <v>W</v>
      </c>
      <c r="DT6" s="31" t="str">
        <f t="shared" si="10"/>
        <v>T</v>
      </c>
      <c r="DU6" s="31" t="str">
        <f t="shared" si="10"/>
        <v>F</v>
      </c>
      <c r="DV6" s="31" t="str">
        <f t="shared" si="10"/>
        <v>S</v>
      </c>
      <c r="DW6" s="32" t="str">
        <f t="shared" si="10"/>
        <v>S</v>
      </c>
      <c r="DX6" s="31" t="str">
        <f t="shared" si="10"/>
        <v>M</v>
      </c>
      <c r="DY6" s="31" t="str">
        <f t="shared" si="10"/>
        <v>T</v>
      </c>
      <c r="DZ6" s="31" t="str">
        <f t="shared" si="10"/>
        <v>W</v>
      </c>
      <c r="EA6" s="31" t="str">
        <f t="shared" si="10"/>
        <v>T</v>
      </c>
      <c r="EB6" s="31" t="str">
        <f t="shared" si="10"/>
        <v>F</v>
      </c>
      <c r="EC6" s="31" t="str">
        <f t="shared" si="10"/>
        <v>S</v>
      </c>
      <c r="ED6" s="32" t="str">
        <f t="shared" si="10"/>
        <v>S</v>
      </c>
      <c r="EE6" s="31" t="str">
        <f t="shared" si="10"/>
        <v>M</v>
      </c>
      <c r="EF6" s="31" t="str">
        <f t="shared" ref="EF6:EL6" si="11">LEFT(TEXT(EF5,"ddd"),1)</f>
        <v>T</v>
      </c>
      <c r="EG6" s="31" t="str">
        <f t="shared" si="11"/>
        <v>W</v>
      </c>
      <c r="EH6" s="31" t="str">
        <f t="shared" si="11"/>
        <v>T</v>
      </c>
      <c r="EI6" s="31" t="str">
        <f t="shared" si="11"/>
        <v>F</v>
      </c>
      <c r="EJ6" s="31" t="str">
        <f t="shared" si="11"/>
        <v>S</v>
      </c>
      <c r="EK6" s="32" t="str">
        <f t="shared" si="11"/>
        <v>S</v>
      </c>
      <c r="EL6" s="31" t="str">
        <f t="shared" si="11"/>
        <v>M</v>
      </c>
      <c r="EM6" s="31" t="str">
        <f t="shared" ref="EM6:FT6" si="12">LEFT(TEXT(EM5,"ddd"),1)</f>
        <v>T</v>
      </c>
      <c r="EN6" s="31" t="str">
        <f t="shared" si="12"/>
        <v>W</v>
      </c>
      <c r="EO6" s="31" t="str">
        <f t="shared" si="12"/>
        <v>T</v>
      </c>
      <c r="EP6" s="31" t="str">
        <f t="shared" si="12"/>
        <v>F</v>
      </c>
      <c r="EQ6" s="31" t="str">
        <f t="shared" si="12"/>
        <v>S</v>
      </c>
      <c r="ER6" s="32" t="str">
        <f t="shared" si="12"/>
        <v>S</v>
      </c>
      <c r="ES6" s="31" t="str">
        <f t="shared" si="12"/>
        <v>M</v>
      </c>
      <c r="ET6" s="31" t="str">
        <f t="shared" si="12"/>
        <v>T</v>
      </c>
      <c r="EU6" s="31" t="str">
        <f t="shared" si="12"/>
        <v>W</v>
      </c>
      <c r="EV6" s="31" t="str">
        <f t="shared" si="12"/>
        <v>T</v>
      </c>
      <c r="EW6" s="31" t="str">
        <f t="shared" si="12"/>
        <v>F</v>
      </c>
      <c r="EX6" s="31" t="str">
        <f t="shared" si="12"/>
        <v>S</v>
      </c>
      <c r="EY6" s="32" t="str">
        <f t="shared" si="12"/>
        <v>S</v>
      </c>
      <c r="EZ6" s="31" t="str">
        <f t="shared" si="12"/>
        <v>M</v>
      </c>
      <c r="FA6" s="31" t="str">
        <f t="shared" si="12"/>
        <v>T</v>
      </c>
      <c r="FB6" s="31" t="str">
        <f t="shared" si="12"/>
        <v>W</v>
      </c>
      <c r="FC6" s="31" t="str">
        <f t="shared" si="12"/>
        <v>T</v>
      </c>
      <c r="FD6" s="31" t="str">
        <f t="shared" si="12"/>
        <v>F</v>
      </c>
      <c r="FE6" s="31" t="str">
        <f t="shared" si="12"/>
        <v>S</v>
      </c>
      <c r="FF6" s="32" t="str">
        <f t="shared" si="12"/>
        <v>S</v>
      </c>
      <c r="FG6" s="31" t="str">
        <f t="shared" si="12"/>
        <v>M</v>
      </c>
      <c r="FH6" s="31" t="str">
        <f t="shared" si="12"/>
        <v>T</v>
      </c>
      <c r="FI6" s="31" t="str">
        <f t="shared" si="12"/>
        <v>W</v>
      </c>
      <c r="FJ6" s="31" t="str">
        <f t="shared" si="12"/>
        <v>T</v>
      </c>
      <c r="FK6" s="31" t="str">
        <f t="shared" si="12"/>
        <v>F</v>
      </c>
      <c r="FL6" s="31" t="str">
        <f t="shared" si="12"/>
        <v>S</v>
      </c>
      <c r="FM6" s="32" t="str">
        <f t="shared" si="12"/>
        <v>S</v>
      </c>
      <c r="FN6" s="31" t="str">
        <f t="shared" si="12"/>
        <v>M</v>
      </c>
      <c r="FO6" s="31" t="str">
        <f t="shared" si="12"/>
        <v>T</v>
      </c>
      <c r="FP6" s="31" t="str">
        <f t="shared" si="12"/>
        <v>W</v>
      </c>
      <c r="FQ6" s="31" t="str">
        <f t="shared" si="12"/>
        <v>T</v>
      </c>
      <c r="FR6" s="31" t="str">
        <f t="shared" si="12"/>
        <v>F</v>
      </c>
      <c r="FS6" s="31" t="str">
        <f t="shared" si="12"/>
        <v>S</v>
      </c>
      <c r="FT6" s="32" t="str">
        <f t="shared" si="12"/>
        <v>S</v>
      </c>
      <c r="FU6" s="31" t="str">
        <f t="shared" ref="FU6:GO6" si="13">LEFT(TEXT(FU5,"ddd"),1)</f>
        <v>M</v>
      </c>
      <c r="FV6" s="31" t="str">
        <f t="shared" si="13"/>
        <v>T</v>
      </c>
      <c r="FW6" s="31" t="str">
        <f t="shared" si="13"/>
        <v>W</v>
      </c>
      <c r="FX6" s="31" t="str">
        <f t="shared" si="13"/>
        <v>T</v>
      </c>
      <c r="FY6" s="31" t="str">
        <f t="shared" si="13"/>
        <v>F</v>
      </c>
      <c r="FZ6" s="31" t="str">
        <f t="shared" si="13"/>
        <v>S</v>
      </c>
      <c r="GA6" s="32" t="str">
        <f t="shared" si="13"/>
        <v>S</v>
      </c>
      <c r="GB6" s="31" t="str">
        <f t="shared" si="13"/>
        <v>M</v>
      </c>
      <c r="GC6" s="31" t="str">
        <f t="shared" si="13"/>
        <v>T</v>
      </c>
      <c r="GD6" s="31" t="str">
        <f t="shared" si="13"/>
        <v>W</v>
      </c>
      <c r="GE6" s="31" t="str">
        <f t="shared" si="13"/>
        <v>T</v>
      </c>
      <c r="GF6" s="31" t="str">
        <f t="shared" si="13"/>
        <v>F</v>
      </c>
      <c r="GG6" s="31" t="str">
        <f t="shared" si="13"/>
        <v>S</v>
      </c>
      <c r="GH6" s="32" t="str">
        <f t="shared" si="13"/>
        <v>S</v>
      </c>
      <c r="GI6" s="31" t="str">
        <f t="shared" si="13"/>
        <v>M</v>
      </c>
      <c r="GJ6" s="31" t="str">
        <f t="shared" si="13"/>
        <v>T</v>
      </c>
      <c r="GK6" s="31" t="str">
        <f t="shared" si="13"/>
        <v>W</v>
      </c>
      <c r="GL6" s="31" t="str">
        <f t="shared" si="13"/>
        <v>T</v>
      </c>
      <c r="GM6" s="31" t="str">
        <f t="shared" si="13"/>
        <v>F</v>
      </c>
      <c r="GN6" s="31" t="str">
        <f t="shared" si="13"/>
        <v>S</v>
      </c>
      <c r="GO6" s="32" t="str">
        <f t="shared" si="13"/>
        <v>S</v>
      </c>
      <c r="GP6" s="31" t="str">
        <f t="shared" ref="GP6:IE6" si="14">LEFT(TEXT(GP5,"ddd"),1)</f>
        <v>M</v>
      </c>
      <c r="GQ6" s="31" t="str">
        <f t="shared" si="14"/>
        <v>T</v>
      </c>
      <c r="GR6" s="31" t="str">
        <f t="shared" si="14"/>
        <v>W</v>
      </c>
      <c r="GS6" s="31" t="str">
        <f t="shared" si="14"/>
        <v>T</v>
      </c>
      <c r="GT6" s="31" t="str">
        <f t="shared" si="14"/>
        <v>F</v>
      </c>
      <c r="GU6" s="31" t="str">
        <f t="shared" si="14"/>
        <v>S</v>
      </c>
      <c r="GV6" s="32" t="str">
        <f t="shared" si="14"/>
        <v>S</v>
      </c>
      <c r="GW6" s="31" t="str">
        <f t="shared" si="14"/>
        <v>M</v>
      </c>
      <c r="GX6" s="31" t="str">
        <f t="shared" si="14"/>
        <v>T</v>
      </c>
      <c r="GY6" s="31" t="str">
        <f t="shared" si="14"/>
        <v>W</v>
      </c>
      <c r="GZ6" s="31" t="str">
        <f t="shared" si="14"/>
        <v>T</v>
      </c>
      <c r="HA6" s="31" t="str">
        <f t="shared" si="14"/>
        <v>F</v>
      </c>
      <c r="HB6" s="31" t="str">
        <f t="shared" si="14"/>
        <v>S</v>
      </c>
      <c r="HC6" s="32" t="str">
        <f t="shared" si="14"/>
        <v>S</v>
      </c>
      <c r="HD6" s="31" t="str">
        <f t="shared" si="14"/>
        <v>M</v>
      </c>
      <c r="HE6" s="31" t="str">
        <f t="shared" si="14"/>
        <v>T</v>
      </c>
      <c r="HF6" s="31" t="str">
        <f t="shared" si="14"/>
        <v>W</v>
      </c>
      <c r="HG6" s="31" t="str">
        <f t="shared" si="14"/>
        <v>T</v>
      </c>
      <c r="HH6" s="31" t="str">
        <f t="shared" si="14"/>
        <v>F</v>
      </c>
      <c r="HI6" s="31" t="str">
        <f t="shared" si="14"/>
        <v>S</v>
      </c>
      <c r="HJ6" s="32" t="str">
        <f t="shared" si="14"/>
        <v>S</v>
      </c>
      <c r="HK6" s="31" t="str">
        <f t="shared" si="14"/>
        <v>M</v>
      </c>
      <c r="HL6" s="31" t="str">
        <f t="shared" si="14"/>
        <v>T</v>
      </c>
      <c r="HM6" s="31" t="str">
        <f t="shared" si="14"/>
        <v>W</v>
      </c>
      <c r="HN6" s="31" t="str">
        <f t="shared" si="14"/>
        <v>T</v>
      </c>
      <c r="HO6" s="31" t="str">
        <f t="shared" si="14"/>
        <v>F</v>
      </c>
      <c r="HP6" s="31" t="str">
        <f t="shared" si="14"/>
        <v>S</v>
      </c>
      <c r="HQ6" s="32" t="str">
        <f t="shared" si="14"/>
        <v>S</v>
      </c>
      <c r="HR6" s="31" t="str">
        <f t="shared" si="14"/>
        <v>M</v>
      </c>
      <c r="HS6" s="31" t="str">
        <f t="shared" si="14"/>
        <v>T</v>
      </c>
      <c r="HT6" s="31" t="str">
        <f t="shared" si="14"/>
        <v>W</v>
      </c>
      <c r="HU6" s="31" t="str">
        <f t="shared" si="14"/>
        <v>T</v>
      </c>
      <c r="HV6" s="31" t="str">
        <f t="shared" si="14"/>
        <v>F</v>
      </c>
      <c r="HW6" s="31" t="str">
        <f t="shared" si="14"/>
        <v>S</v>
      </c>
      <c r="HX6" s="32" t="str">
        <f t="shared" si="14"/>
        <v>S</v>
      </c>
      <c r="HY6" s="31" t="str">
        <f t="shared" si="14"/>
        <v>M</v>
      </c>
      <c r="HZ6" s="31" t="str">
        <f t="shared" si="14"/>
        <v>T</v>
      </c>
      <c r="IA6" s="31" t="str">
        <f t="shared" si="14"/>
        <v>W</v>
      </c>
      <c r="IB6" s="31" t="str">
        <f t="shared" si="14"/>
        <v>T</v>
      </c>
      <c r="IC6" s="31" t="str">
        <f t="shared" si="14"/>
        <v>F</v>
      </c>
      <c r="ID6" s="31" t="str">
        <f t="shared" si="14"/>
        <v>S</v>
      </c>
      <c r="IE6" s="32" t="str">
        <f t="shared" si="14"/>
        <v>S</v>
      </c>
    </row>
    <row r="7" spans="1:239" s="23" customFormat="1" ht="30" hidden="1" customHeight="1" thickBot="1" x14ac:dyDescent="0.25">
      <c r="A7" s="12" t="s">
        <v>18</v>
      </c>
      <c r="B7" s="33"/>
      <c r="C7" s="34"/>
      <c r="D7" s="33"/>
      <c r="E7" s="33"/>
      <c r="F7" s="33"/>
      <c r="H7" s="23" t="str">
        <f>IF(OR(ISBLANK(task_start),ISBLANK(task_end)),"",task_end-task_start+1)</f>
        <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row>
    <row r="8" spans="1:239" s="42" customFormat="1" ht="30" customHeight="1" thickBot="1" x14ac:dyDescent="0.25">
      <c r="A8" s="13"/>
      <c r="B8" s="36" t="s">
        <v>95</v>
      </c>
      <c r="C8" s="37"/>
      <c r="D8" s="38"/>
      <c r="E8" s="39"/>
      <c r="F8" s="40"/>
      <c r="G8" s="14"/>
      <c r="H8" s="4" t="str">
        <f t="shared" ref="H8:H49" si="15">IF(OR(ISBLANK(task_start),ISBLANK(task_end)),"",task_end-task_start+1)</f>
        <v/>
      </c>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row>
    <row r="9" spans="1:239" s="42" customFormat="1" ht="30" customHeight="1" thickBot="1" x14ac:dyDescent="0.25">
      <c r="A9" s="13"/>
      <c r="B9" s="43" t="s">
        <v>96</v>
      </c>
      <c r="C9" s="44" t="s">
        <v>97</v>
      </c>
      <c r="D9" s="45">
        <v>1</v>
      </c>
      <c r="E9" s="46">
        <f>Project_Start</f>
        <v>45902</v>
      </c>
      <c r="F9" s="46">
        <f>E9+2</f>
        <v>45904</v>
      </c>
      <c r="G9" s="14"/>
      <c r="H9" s="4">
        <f t="shared" si="15"/>
        <v>3</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c r="HT9" s="47"/>
      <c r="HU9" s="47"/>
      <c r="HV9" s="47"/>
      <c r="HW9" s="47"/>
      <c r="HX9" s="47"/>
    </row>
    <row r="10" spans="1:239" s="42" customFormat="1" ht="30" customHeight="1" thickBot="1" x14ac:dyDescent="0.25">
      <c r="A10" s="13"/>
      <c r="B10" s="43" t="s">
        <v>98</v>
      </c>
      <c r="C10" s="44" t="s">
        <v>97</v>
      </c>
      <c r="D10" s="45">
        <v>1</v>
      </c>
      <c r="E10" s="46">
        <v>45904</v>
      </c>
      <c r="F10" s="46">
        <v>45904</v>
      </c>
      <c r="G10" s="14"/>
      <c r="H10" s="4">
        <f t="shared" si="15"/>
        <v>1</v>
      </c>
      <c r="I10" s="47"/>
      <c r="J10" s="47"/>
      <c r="K10" s="47"/>
      <c r="L10" s="47"/>
      <c r="M10" s="47"/>
      <c r="N10" s="47"/>
      <c r="O10" s="47"/>
      <c r="P10" s="47"/>
      <c r="Q10" s="47"/>
      <c r="R10" s="47"/>
      <c r="S10" s="47"/>
      <c r="T10" s="47"/>
      <c r="U10" s="52"/>
      <c r="V10" s="52"/>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c r="HT10" s="47"/>
      <c r="HU10" s="47"/>
      <c r="HV10" s="47"/>
      <c r="HW10" s="47"/>
      <c r="HX10" s="47"/>
    </row>
    <row r="11" spans="1:239" s="42" customFormat="1" ht="30" customHeight="1" thickBot="1" x14ac:dyDescent="0.25">
      <c r="A11" s="12"/>
      <c r="B11" s="43" t="s">
        <v>99</v>
      </c>
      <c r="C11" s="44" t="s">
        <v>97</v>
      </c>
      <c r="D11" s="45">
        <v>1</v>
      </c>
      <c r="E11" s="46">
        <v>45904</v>
      </c>
      <c r="F11" s="46">
        <v>45904</v>
      </c>
      <c r="G11" s="14"/>
      <c r="H11" s="4">
        <f t="shared" si="15"/>
        <v>1</v>
      </c>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c r="HT11" s="47"/>
      <c r="HU11" s="47"/>
      <c r="HV11" s="47"/>
      <c r="HW11" s="47"/>
      <c r="HX11" s="47"/>
    </row>
    <row r="12" spans="1:239" s="42" customFormat="1" ht="30" customHeight="1" thickBot="1" x14ac:dyDescent="0.25">
      <c r="A12" s="12"/>
      <c r="B12" s="43" t="s">
        <v>100</v>
      </c>
      <c r="C12" s="44" t="s">
        <v>97</v>
      </c>
      <c r="D12" s="45">
        <v>1</v>
      </c>
      <c r="E12" s="46">
        <v>45904</v>
      </c>
      <c r="F12" s="46">
        <v>45904</v>
      </c>
      <c r="G12" s="14"/>
      <c r="H12" s="4">
        <f t="shared" si="15"/>
        <v>1</v>
      </c>
      <c r="I12" s="47"/>
      <c r="J12" s="47"/>
      <c r="K12" s="47"/>
      <c r="L12" s="47"/>
      <c r="M12" s="47"/>
      <c r="N12" s="47"/>
      <c r="O12" s="47"/>
      <c r="P12" s="47"/>
      <c r="Q12" s="47"/>
      <c r="R12" s="47"/>
      <c r="S12" s="47"/>
      <c r="T12" s="47"/>
      <c r="U12" s="47"/>
      <c r="V12" s="47"/>
      <c r="W12" s="47"/>
      <c r="X12" s="47"/>
      <c r="Y12" s="52"/>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c r="EG12" s="47"/>
      <c r="EH12" s="47"/>
      <c r="EI12" s="47"/>
      <c r="EJ12" s="47"/>
      <c r="EK12" s="47"/>
      <c r="EL12" s="47"/>
      <c r="EM12" s="47"/>
      <c r="EN12" s="47"/>
      <c r="EO12" s="47"/>
      <c r="EP12" s="47"/>
      <c r="EQ12" s="47"/>
      <c r="ER12" s="47"/>
      <c r="ES12" s="47"/>
      <c r="ET12" s="47"/>
      <c r="EU12" s="47"/>
      <c r="EV12" s="47"/>
      <c r="EW12" s="47"/>
      <c r="EX12" s="47"/>
      <c r="EY12" s="47"/>
      <c r="EZ12" s="47"/>
      <c r="FA12" s="47"/>
      <c r="FB12" s="47"/>
      <c r="FC12" s="47"/>
      <c r="FD12" s="47"/>
      <c r="FE12" s="47"/>
      <c r="FF12" s="47"/>
      <c r="FG12" s="47"/>
      <c r="FH12" s="47"/>
      <c r="FI12" s="47"/>
      <c r="FJ12" s="47"/>
      <c r="FK12" s="47"/>
      <c r="FL12" s="47"/>
      <c r="FM12" s="47"/>
      <c r="FN12" s="47"/>
      <c r="FO12" s="47"/>
      <c r="FP12" s="47"/>
      <c r="FQ12" s="47"/>
      <c r="FR12" s="47"/>
      <c r="FS12" s="47"/>
      <c r="FT12" s="47"/>
      <c r="FU12" s="47"/>
      <c r="FV12" s="47"/>
      <c r="FW12" s="47"/>
      <c r="FX12" s="47"/>
      <c r="FY12" s="47"/>
      <c r="FZ12" s="47"/>
      <c r="GA12" s="47"/>
      <c r="GB12" s="47"/>
      <c r="GC12" s="47"/>
      <c r="GD12" s="47"/>
      <c r="GE12" s="47"/>
      <c r="GF12" s="47"/>
      <c r="GG12" s="47"/>
      <c r="GH12" s="47"/>
      <c r="GI12" s="47"/>
      <c r="GJ12" s="47"/>
      <c r="GK12" s="47"/>
      <c r="GL12" s="47"/>
      <c r="GM12" s="47"/>
      <c r="GN12" s="47"/>
      <c r="GO12" s="47"/>
      <c r="GP12" s="47"/>
      <c r="GQ12" s="47"/>
      <c r="GR12" s="47"/>
      <c r="GS12" s="47"/>
      <c r="GT12" s="47"/>
      <c r="GU12" s="47"/>
      <c r="GV12" s="47"/>
      <c r="GW12" s="47"/>
      <c r="GX12" s="47"/>
      <c r="GY12" s="47"/>
      <c r="GZ12" s="47"/>
      <c r="HA12" s="47"/>
      <c r="HB12" s="47"/>
      <c r="HC12" s="47"/>
      <c r="HD12" s="47"/>
      <c r="HE12" s="47"/>
      <c r="HF12" s="47"/>
      <c r="HG12" s="47"/>
      <c r="HH12" s="47"/>
      <c r="HI12" s="47"/>
      <c r="HJ12" s="47"/>
      <c r="HK12" s="47"/>
      <c r="HL12" s="47"/>
      <c r="HM12" s="47"/>
      <c r="HN12" s="47"/>
      <c r="HO12" s="47"/>
      <c r="HP12" s="47"/>
      <c r="HQ12" s="47"/>
      <c r="HR12" s="47"/>
      <c r="HS12" s="47"/>
      <c r="HT12" s="47"/>
      <c r="HU12" s="47"/>
      <c r="HV12" s="47"/>
      <c r="HW12" s="47"/>
      <c r="HX12" s="47"/>
    </row>
    <row r="13" spans="1:239" s="42" customFormat="1" ht="30" customHeight="1" thickBot="1" x14ac:dyDescent="0.25">
      <c r="A13" s="12"/>
      <c r="B13" s="48" t="s">
        <v>101</v>
      </c>
      <c r="C13" s="49" t="s">
        <v>97</v>
      </c>
      <c r="D13" s="50">
        <v>1</v>
      </c>
      <c r="E13" s="51">
        <f>F9</f>
        <v>45904</v>
      </c>
      <c r="F13" s="51">
        <f>E13</f>
        <v>45904</v>
      </c>
      <c r="G13" s="14"/>
      <c r="H13" s="4"/>
      <c r="I13" s="47"/>
      <c r="J13" s="47"/>
      <c r="K13" s="47"/>
      <c r="L13" s="47"/>
      <c r="M13" s="47"/>
      <c r="N13" s="47"/>
      <c r="O13" s="47"/>
      <c r="P13" s="47"/>
      <c r="Q13" s="47"/>
      <c r="R13" s="47"/>
      <c r="S13" s="47"/>
      <c r="T13" s="47"/>
      <c r="U13" s="47"/>
      <c r="V13" s="47"/>
      <c r="W13" s="47"/>
      <c r="X13" s="47"/>
      <c r="Y13" s="52"/>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row>
    <row r="14" spans="1:239" s="42" customFormat="1" ht="30" customHeight="1" thickBot="1" x14ac:dyDescent="0.25">
      <c r="A14" s="13"/>
      <c r="B14" s="48" t="s">
        <v>102</v>
      </c>
      <c r="C14" s="49" t="s">
        <v>60</v>
      </c>
      <c r="D14" s="50">
        <v>1</v>
      </c>
      <c r="E14" s="51">
        <f>F13</f>
        <v>45904</v>
      </c>
      <c r="F14" s="51">
        <f>E14+6</f>
        <v>45910</v>
      </c>
      <c r="G14" s="14"/>
      <c r="H14" s="4">
        <f t="shared" si="15"/>
        <v>7</v>
      </c>
      <c r="I14" s="47"/>
      <c r="J14" s="47"/>
      <c r="K14" s="47"/>
      <c r="L14" s="47"/>
      <c r="M14" s="47"/>
      <c r="N14" s="47"/>
      <c r="O14" s="47"/>
      <c r="P14" s="47"/>
      <c r="Q14" s="47"/>
      <c r="R14" s="47"/>
      <c r="S14" s="47"/>
      <c r="T14" s="47"/>
      <c r="U14" s="52"/>
      <c r="V14" s="52"/>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c r="HT14" s="47"/>
      <c r="HU14" s="47"/>
      <c r="HV14" s="47"/>
      <c r="HW14" s="47"/>
      <c r="HX14" s="47"/>
    </row>
    <row r="15" spans="1:239" s="42" customFormat="1" ht="30" customHeight="1" thickBot="1" x14ac:dyDescent="0.25">
      <c r="A15" s="12"/>
      <c r="B15" s="48" t="s">
        <v>103</v>
      </c>
      <c r="C15" s="49" t="s">
        <v>97</v>
      </c>
      <c r="D15" s="50">
        <v>1</v>
      </c>
      <c r="E15" s="51">
        <f>E16</f>
        <v>45911</v>
      </c>
      <c r="F15" s="51">
        <f>E15</f>
        <v>45911</v>
      </c>
      <c r="G15" s="14"/>
      <c r="H15" s="4">
        <f t="shared" si="15"/>
        <v>1</v>
      </c>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c r="HT15" s="47"/>
      <c r="HU15" s="47"/>
      <c r="HV15" s="47"/>
      <c r="HW15" s="47"/>
      <c r="HX15" s="47"/>
    </row>
    <row r="16" spans="1:239" s="42" customFormat="1" ht="30" customHeight="1" thickBot="1" x14ac:dyDescent="0.25">
      <c r="A16" s="12"/>
      <c r="B16" s="48" t="s">
        <v>104</v>
      </c>
      <c r="C16" s="49" t="s">
        <v>97</v>
      </c>
      <c r="D16" s="50">
        <v>1</v>
      </c>
      <c r="E16" s="51">
        <f>F14+1</f>
        <v>45911</v>
      </c>
      <c r="F16" s="51">
        <f>E16</f>
        <v>45911</v>
      </c>
      <c r="G16" s="14"/>
      <c r="H16" s="4">
        <f t="shared" si="15"/>
        <v>1</v>
      </c>
      <c r="I16" s="47"/>
      <c r="J16" s="47"/>
      <c r="K16" s="47"/>
      <c r="L16" s="47"/>
      <c r="M16" s="47"/>
      <c r="N16" s="47"/>
      <c r="O16" s="47"/>
      <c r="P16" s="47"/>
      <c r="Q16" s="47"/>
      <c r="R16" s="47"/>
      <c r="S16" s="47"/>
      <c r="T16" s="47"/>
      <c r="U16" s="47"/>
      <c r="V16" s="47"/>
      <c r="W16" s="47"/>
      <c r="X16" s="47"/>
      <c r="Y16" s="52"/>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c r="HT16" s="47"/>
      <c r="HU16" s="47"/>
      <c r="HV16" s="47"/>
      <c r="HW16" s="47"/>
      <c r="HX16" s="47"/>
    </row>
    <row r="17" spans="1:232" s="42" customFormat="1" ht="30" customHeight="1" thickBot="1" x14ac:dyDescent="0.25">
      <c r="A17" s="12"/>
      <c r="B17" s="48" t="s">
        <v>105</v>
      </c>
      <c r="C17" s="49" t="s">
        <v>52</v>
      </c>
      <c r="D17" s="50">
        <v>1</v>
      </c>
      <c r="E17" s="51">
        <f>F16+1</f>
        <v>45912</v>
      </c>
      <c r="F17" s="51">
        <f>E17+2</f>
        <v>45914</v>
      </c>
      <c r="G17" s="14"/>
      <c r="H17" s="4"/>
      <c r="I17" s="47"/>
      <c r="J17" s="47"/>
      <c r="K17" s="47"/>
      <c r="L17" s="47"/>
      <c r="M17" s="47"/>
      <c r="N17" s="47"/>
      <c r="O17" s="47"/>
      <c r="P17" s="47"/>
      <c r="Q17" s="47"/>
      <c r="R17" s="47"/>
      <c r="S17" s="47"/>
      <c r="T17" s="47"/>
      <c r="U17" s="47"/>
      <c r="V17" s="47"/>
      <c r="W17" s="47"/>
      <c r="X17" s="47"/>
      <c r="Y17" s="52"/>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c r="HT17" s="47"/>
      <c r="HU17" s="47"/>
      <c r="HV17" s="47"/>
      <c r="HW17" s="47"/>
      <c r="HX17" s="47"/>
    </row>
    <row r="18" spans="1:232" s="42" customFormat="1" ht="30" customHeight="1" thickBot="1" x14ac:dyDescent="0.25">
      <c r="A18" s="12"/>
      <c r="B18" s="48" t="s">
        <v>106</v>
      </c>
      <c r="C18" s="49" t="s">
        <v>97</v>
      </c>
      <c r="D18" s="50">
        <v>1</v>
      </c>
      <c r="E18" s="51">
        <f>F17</f>
        <v>45914</v>
      </c>
      <c r="F18" s="51">
        <f>E18</f>
        <v>45914</v>
      </c>
      <c r="G18" s="14"/>
      <c r="H18" s="4"/>
      <c r="I18" s="47"/>
      <c r="J18" s="47"/>
      <c r="K18" s="47"/>
      <c r="L18" s="47"/>
      <c r="M18" s="47"/>
      <c r="N18" s="47"/>
      <c r="O18" s="47"/>
      <c r="P18" s="47"/>
      <c r="Q18" s="47"/>
      <c r="R18" s="47"/>
      <c r="S18" s="47"/>
      <c r="T18" s="47"/>
      <c r="U18" s="47"/>
      <c r="V18" s="47"/>
      <c r="W18" s="47"/>
      <c r="X18" s="47"/>
      <c r="Y18" s="52"/>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c r="HT18" s="47"/>
      <c r="HU18" s="47"/>
      <c r="HV18" s="47"/>
      <c r="HW18" s="47"/>
      <c r="HX18" s="47"/>
    </row>
    <row r="19" spans="1:232" s="42" customFormat="1" ht="30" customHeight="1" thickBot="1" x14ac:dyDescent="0.25">
      <c r="A19" s="12"/>
      <c r="B19" s="53" t="s">
        <v>107</v>
      </c>
      <c r="C19" s="54"/>
      <c r="D19" s="55"/>
      <c r="E19" s="56"/>
      <c r="F19" s="57"/>
      <c r="G19" s="14"/>
      <c r="H19" s="4"/>
      <c r="I19" s="47"/>
      <c r="J19" s="47"/>
      <c r="K19" s="47"/>
      <c r="L19" s="47"/>
      <c r="M19" s="47"/>
      <c r="N19" s="47"/>
      <c r="O19" s="47"/>
      <c r="P19" s="47"/>
      <c r="Q19" s="47"/>
      <c r="R19" s="47"/>
      <c r="S19" s="47"/>
      <c r="T19" s="47"/>
      <c r="U19" s="47"/>
      <c r="V19" s="47"/>
      <c r="W19" s="47"/>
      <c r="X19" s="47"/>
      <c r="Y19" s="52"/>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c r="HT19" s="47"/>
      <c r="HU19" s="47"/>
      <c r="HV19" s="47"/>
      <c r="HW19" s="47"/>
      <c r="HX19" s="47"/>
    </row>
    <row r="20" spans="1:232" s="42" customFormat="1" ht="30" customHeight="1" thickBot="1" x14ac:dyDescent="0.25">
      <c r="A20" s="12"/>
      <c r="B20" s="58" t="s">
        <v>108</v>
      </c>
      <c r="C20" s="59" t="s">
        <v>97</v>
      </c>
      <c r="D20" s="90">
        <v>1</v>
      </c>
      <c r="E20" s="60">
        <f>E17+1</f>
        <v>45913</v>
      </c>
      <c r="F20" s="60">
        <f>E20+2</f>
        <v>45915</v>
      </c>
      <c r="G20" s="14"/>
      <c r="H20" s="4"/>
      <c r="I20" s="47"/>
      <c r="J20" s="47"/>
      <c r="K20" s="47"/>
      <c r="L20" s="47"/>
      <c r="M20" s="47"/>
      <c r="N20" s="47"/>
      <c r="O20" s="47"/>
      <c r="P20" s="47"/>
      <c r="Q20" s="47"/>
      <c r="R20" s="47"/>
      <c r="S20" s="47"/>
      <c r="T20" s="47"/>
      <c r="U20" s="47"/>
      <c r="V20" s="47"/>
      <c r="W20" s="47"/>
      <c r="X20" s="47"/>
      <c r="Y20" s="52"/>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c r="HT20" s="47"/>
      <c r="HU20" s="47"/>
      <c r="HV20" s="47"/>
      <c r="HW20" s="47"/>
      <c r="HX20" s="47"/>
    </row>
    <row r="21" spans="1:232" s="42" customFormat="1" ht="30" customHeight="1" thickBot="1" x14ac:dyDescent="0.25">
      <c r="A21" s="13"/>
      <c r="B21" s="58" t="s">
        <v>109</v>
      </c>
      <c r="C21" s="59" t="s">
        <v>52</v>
      </c>
      <c r="D21" s="90">
        <v>1</v>
      </c>
      <c r="E21" s="60">
        <f>E18+1</f>
        <v>45915</v>
      </c>
      <c r="F21" s="60">
        <f>E21+4</f>
        <v>45919</v>
      </c>
      <c r="G21" s="14"/>
      <c r="H21" s="4">
        <f t="shared" si="15"/>
        <v>5</v>
      </c>
    </row>
    <row r="22" spans="1:232" s="42" customFormat="1" ht="30" customHeight="1" thickBot="1" x14ac:dyDescent="0.25">
      <c r="A22" s="13"/>
      <c r="B22" s="58" t="s">
        <v>110</v>
      </c>
      <c r="C22" s="59" t="s">
        <v>60</v>
      </c>
      <c r="D22" s="90">
        <v>1</v>
      </c>
      <c r="E22" s="60">
        <f>E21</f>
        <v>45915</v>
      </c>
      <c r="F22" s="60">
        <f>E18+5</f>
        <v>45919</v>
      </c>
      <c r="G22" s="14"/>
      <c r="H22" s="4">
        <f t="shared" si="15"/>
        <v>5</v>
      </c>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row>
    <row r="23" spans="1:232" s="42" customFormat="1" ht="30" customHeight="1" thickBot="1" x14ac:dyDescent="0.25">
      <c r="A23" s="12"/>
      <c r="B23" s="58" t="s">
        <v>111</v>
      </c>
      <c r="C23" s="59" t="s">
        <v>52</v>
      </c>
      <c r="D23" s="90">
        <v>1</v>
      </c>
      <c r="E23" s="60">
        <f>E22</f>
        <v>45915</v>
      </c>
      <c r="F23" s="60">
        <f>E23+3</f>
        <v>45918</v>
      </c>
      <c r="G23" s="14"/>
      <c r="H23" s="4">
        <f t="shared" si="15"/>
        <v>4</v>
      </c>
      <c r="I23" s="47"/>
      <c r="J23" s="47"/>
      <c r="K23" s="47"/>
      <c r="L23" s="47"/>
      <c r="M23" s="47"/>
      <c r="N23" s="47"/>
      <c r="O23" s="47"/>
      <c r="P23" s="47"/>
      <c r="Q23" s="47"/>
      <c r="R23" s="47"/>
      <c r="S23" s="47"/>
      <c r="T23" s="47"/>
      <c r="U23" s="52"/>
      <c r="V23" s="52"/>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row>
    <row r="24" spans="1:232" s="42" customFormat="1" ht="30" customHeight="1" thickBot="1" x14ac:dyDescent="0.25">
      <c r="A24" s="12"/>
      <c r="B24" s="58" t="s">
        <v>37</v>
      </c>
      <c r="C24" s="59" t="s">
        <v>60</v>
      </c>
      <c r="D24" s="90">
        <v>1</v>
      </c>
      <c r="E24" s="60">
        <f>E25</f>
        <v>45919</v>
      </c>
      <c r="F24" s="60">
        <f>E24</f>
        <v>45919</v>
      </c>
      <c r="G24" s="14"/>
      <c r="H24" s="4"/>
      <c r="I24" s="47"/>
      <c r="J24" s="47"/>
      <c r="K24" s="47"/>
      <c r="L24" s="47"/>
      <c r="M24" s="47"/>
      <c r="N24" s="47"/>
      <c r="O24" s="47"/>
      <c r="P24" s="47"/>
      <c r="Q24" s="47"/>
      <c r="R24" s="47"/>
      <c r="S24" s="47"/>
      <c r="T24" s="47"/>
      <c r="U24" s="47"/>
      <c r="V24" s="47"/>
      <c r="W24" s="47"/>
      <c r="X24" s="47"/>
      <c r="Y24" s="52"/>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c r="HT24" s="47"/>
      <c r="HU24" s="47"/>
      <c r="HV24" s="47"/>
      <c r="HW24" s="47"/>
      <c r="HX24" s="47"/>
    </row>
    <row r="25" spans="1:232" s="42" customFormat="1" ht="30" customHeight="1" thickBot="1" x14ac:dyDescent="0.25">
      <c r="A25" s="12"/>
      <c r="B25" s="58" t="s">
        <v>112</v>
      </c>
      <c r="C25" s="59" t="s">
        <v>60</v>
      </c>
      <c r="D25" s="90">
        <v>1</v>
      </c>
      <c r="E25" s="60">
        <v>45919</v>
      </c>
      <c r="F25" s="60">
        <f>E25</f>
        <v>45919</v>
      </c>
      <c r="G25" s="14"/>
      <c r="H25" s="4"/>
      <c r="I25" s="47"/>
      <c r="J25" s="47"/>
      <c r="K25" s="47"/>
      <c r="L25" s="47"/>
      <c r="M25" s="47"/>
      <c r="N25" s="47"/>
      <c r="O25" s="47"/>
      <c r="P25" s="47"/>
      <c r="Q25" s="47"/>
      <c r="R25" s="47"/>
      <c r="S25" s="47"/>
      <c r="T25" s="47"/>
      <c r="U25" s="47"/>
      <c r="V25" s="47"/>
      <c r="W25" s="47"/>
      <c r="X25" s="47"/>
      <c r="Y25" s="52"/>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c r="HT25" s="47"/>
      <c r="HU25" s="47"/>
      <c r="HV25" s="47"/>
      <c r="HW25" s="47"/>
      <c r="HX25" s="47"/>
    </row>
    <row r="26" spans="1:232" s="42" customFormat="1" ht="30" customHeight="1" thickBot="1" x14ac:dyDescent="0.25">
      <c r="A26" s="12"/>
      <c r="B26" s="61" t="s">
        <v>113</v>
      </c>
      <c r="C26" s="62"/>
      <c r="D26" s="63"/>
      <c r="E26" s="64"/>
      <c r="F26" s="65"/>
      <c r="G26" s="14"/>
      <c r="H26" s="4" t="str">
        <f t="shared" si="15"/>
        <v/>
      </c>
      <c r="I26" s="47"/>
      <c r="J26" s="47"/>
      <c r="K26" s="47"/>
      <c r="L26" s="47"/>
      <c r="M26" s="47"/>
      <c r="N26" s="47"/>
      <c r="O26" s="47"/>
      <c r="P26" s="47"/>
      <c r="Q26" s="47"/>
      <c r="R26" s="47"/>
      <c r="S26" s="47"/>
      <c r="T26" s="47"/>
      <c r="U26" s="47"/>
      <c r="V26" s="47"/>
      <c r="W26" s="47"/>
      <c r="X26" s="47"/>
      <c r="Y26" s="52"/>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c r="HT26" s="47"/>
      <c r="HU26" s="47"/>
      <c r="HV26" s="47"/>
      <c r="HW26" s="47"/>
      <c r="HX26" s="47"/>
    </row>
    <row r="27" spans="1:232" s="42" customFormat="1" ht="30" customHeight="1" thickBot="1" x14ac:dyDescent="0.25">
      <c r="A27" s="12"/>
      <c r="B27" s="67" t="s">
        <v>114</v>
      </c>
      <c r="C27" s="68" t="s">
        <v>97</v>
      </c>
      <c r="D27" s="91">
        <v>1</v>
      </c>
      <c r="E27" s="69">
        <f>E9+15</f>
        <v>45917</v>
      </c>
      <c r="F27" s="69">
        <v>45943</v>
      </c>
      <c r="G27" s="14"/>
      <c r="H27" s="4"/>
      <c r="I27" s="47"/>
      <c r="J27" s="47"/>
      <c r="K27" s="47"/>
      <c r="L27" s="47"/>
      <c r="M27" s="47"/>
      <c r="N27" s="47"/>
      <c r="O27" s="47"/>
      <c r="P27" s="47"/>
      <c r="Q27" s="47"/>
      <c r="R27" s="47"/>
      <c r="S27" s="47"/>
      <c r="T27" s="47"/>
      <c r="U27" s="47"/>
      <c r="V27" s="47"/>
      <c r="W27" s="47"/>
      <c r="X27" s="47"/>
      <c r="Y27" s="52"/>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c r="HT27" s="47"/>
      <c r="HU27" s="47"/>
      <c r="HV27" s="47"/>
      <c r="HW27" s="47"/>
      <c r="HX27" s="47"/>
    </row>
    <row r="28" spans="1:232" s="42" customFormat="1" ht="30" customHeight="1" thickBot="1" x14ac:dyDescent="0.25">
      <c r="A28" s="12"/>
      <c r="B28" s="67" t="s">
        <v>115</v>
      </c>
      <c r="C28" s="68" t="s">
        <v>52</v>
      </c>
      <c r="D28" s="91">
        <v>1</v>
      </c>
      <c r="E28" s="69">
        <f>F27-3</f>
        <v>45940</v>
      </c>
      <c r="F28" s="69">
        <v>45942</v>
      </c>
      <c r="G28" s="14"/>
      <c r="H28" s="4">
        <f t="shared" si="15"/>
        <v>3</v>
      </c>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c r="HT28" s="47"/>
      <c r="HU28" s="47"/>
      <c r="HV28" s="47"/>
      <c r="HW28" s="47"/>
      <c r="HX28" s="47"/>
    </row>
    <row r="29" spans="1:232" s="42" customFormat="1" ht="30" customHeight="1" thickBot="1" x14ac:dyDescent="0.25">
      <c r="A29" s="12"/>
      <c r="B29" s="67" t="s">
        <v>116</v>
      </c>
      <c r="C29" s="68" t="s">
        <v>52</v>
      </c>
      <c r="D29" s="91">
        <v>1</v>
      </c>
      <c r="E29" s="69">
        <f>F27+1</f>
        <v>45944</v>
      </c>
      <c r="F29" s="69">
        <f>E29</f>
        <v>45944</v>
      </c>
      <c r="G29" s="14"/>
      <c r="H29" s="4"/>
      <c r="I29" s="47"/>
      <c r="J29" s="47"/>
      <c r="K29" s="47"/>
      <c r="L29" s="47"/>
      <c r="M29" s="47"/>
      <c r="N29" s="47"/>
      <c r="O29" s="47"/>
      <c r="P29" s="47"/>
      <c r="Q29" s="47"/>
      <c r="R29" s="47"/>
      <c r="S29" s="47"/>
      <c r="T29" s="47"/>
      <c r="U29" s="47"/>
      <c r="V29" s="47"/>
      <c r="W29" s="47"/>
      <c r="X29" s="47"/>
      <c r="Y29" s="52"/>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c r="HT29" s="47"/>
      <c r="HU29" s="47"/>
      <c r="HV29" s="47"/>
      <c r="HW29" s="47"/>
      <c r="HX29" s="47"/>
    </row>
    <row r="30" spans="1:232" s="42" customFormat="1" ht="30" customHeight="1" thickBot="1" x14ac:dyDescent="0.25">
      <c r="A30" s="12"/>
      <c r="B30" s="67" t="s">
        <v>117</v>
      </c>
      <c r="C30" s="68" t="s">
        <v>97</v>
      </c>
      <c r="D30" s="91">
        <v>1</v>
      </c>
      <c r="E30" s="69">
        <f>E29+2</f>
        <v>45946</v>
      </c>
      <c r="F30" s="69">
        <f>E30</f>
        <v>45946</v>
      </c>
      <c r="G30" s="14"/>
      <c r="H30" s="4"/>
      <c r="I30" s="47"/>
      <c r="J30" s="47"/>
      <c r="K30" s="47"/>
      <c r="L30" s="47"/>
      <c r="M30" s="47"/>
      <c r="N30" s="47"/>
      <c r="O30" s="47"/>
      <c r="P30" s="47"/>
      <c r="Q30" s="47"/>
      <c r="R30" s="47"/>
      <c r="S30" s="47"/>
      <c r="T30" s="47"/>
      <c r="U30" s="47"/>
      <c r="V30" s="47"/>
      <c r="W30" s="47"/>
      <c r="X30" s="47"/>
      <c r="Y30" s="52"/>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c r="HT30" s="47"/>
      <c r="HU30" s="47"/>
      <c r="HV30" s="47"/>
      <c r="HW30" s="47"/>
      <c r="HX30" s="47"/>
    </row>
    <row r="31" spans="1:232" s="42" customFormat="1" ht="30" customHeight="1" thickBot="1" x14ac:dyDescent="0.25">
      <c r="A31" s="12"/>
      <c r="B31" s="67" t="s">
        <v>118</v>
      </c>
      <c r="C31" s="68" t="s">
        <v>97</v>
      </c>
      <c r="D31" s="91">
        <v>1</v>
      </c>
      <c r="E31" s="69">
        <f>F30+1</f>
        <v>45947</v>
      </c>
      <c r="F31" s="69">
        <f>E31</f>
        <v>45947</v>
      </c>
      <c r="G31" s="14"/>
      <c r="H31" s="4"/>
      <c r="I31" s="47"/>
      <c r="J31" s="47"/>
      <c r="K31" s="47"/>
      <c r="L31" s="47"/>
      <c r="M31" s="47"/>
      <c r="N31" s="47"/>
      <c r="O31" s="47"/>
      <c r="P31" s="47"/>
      <c r="Q31" s="47"/>
      <c r="R31" s="47"/>
      <c r="S31" s="47"/>
      <c r="T31" s="47"/>
      <c r="U31" s="47"/>
      <c r="V31" s="47"/>
      <c r="W31" s="47"/>
      <c r="X31" s="47"/>
      <c r="Y31" s="52"/>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row>
    <row r="32" spans="1:232" s="42" customFormat="1" ht="30" customHeight="1" thickBot="1" x14ac:dyDescent="0.25">
      <c r="A32" s="12"/>
      <c r="B32" s="67" t="s">
        <v>119</v>
      </c>
      <c r="C32" s="68" t="s">
        <v>60</v>
      </c>
      <c r="D32" s="91">
        <v>1</v>
      </c>
      <c r="E32" s="69">
        <f>E30+2</f>
        <v>45948</v>
      </c>
      <c r="F32" s="69">
        <f>E32+4</f>
        <v>45952</v>
      </c>
      <c r="G32" s="14"/>
      <c r="H32" s="4"/>
      <c r="I32" s="47"/>
      <c r="J32" s="47"/>
      <c r="K32" s="47"/>
      <c r="L32" s="47"/>
      <c r="M32" s="47"/>
      <c r="N32" s="47"/>
      <c r="O32" s="47"/>
      <c r="P32" s="47"/>
      <c r="Q32" s="47"/>
      <c r="R32" s="47"/>
      <c r="S32" s="47"/>
      <c r="T32" s="47"/>
      <c r="U32" s="47"/>
      <c r="V32" s="47"/>
      <c r="W32" s="47"/>
      <c r="X32" s="47"/>
      <c r="Y32" s="52"/>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c r="HT32" s="47"/>
      <c r="HU32" s="47"/>
      <c r="HV32" s="47"/>
      <c r="HW32" s="47"/>
      <c r="HX32" s="47"/>
    </row>
    <row r="33" spans="1:251" s="42" customFormat="1" ht="30" customHeight="1" thickBot="1" x14ac:dyDescent="0.25">
      <c r="A33" s="12"/>
      <c r="B33" s="67" t="s">
        <v>120</v>
      </c>
      <c r="C33" s="68" t="s">
        <v>60</v>
      </c>
      <c r="D33" s="91">
        <v>1</v>
      </c>
      <c r="E33" s="69">
        <v>45950</v>
      </c>
      <c r="F33" s="69">
        <f>E33+3</f>
        <v>45953</v>
      </c>
      <c r="G33" s="14"/>
      <c r="H33" s="4"/>
      <c r="I33" s="47"/>
      <c r="J33" s="47"/>
      <c r="K33" s="47"/>
      <c r="L33" s="47"/>
      <c r="M33" s="47"/>
      <c r="N33" s="47"/>
      <c r="O33" s="47"/>
      <c r="P33" s="47"/>
      <c r="Q33" s="47"/>
      <c r="R33" s="47"/>
      <c r="S33" s="47"/>
      <c r="T33" s="47"/>
      <c r="U33" s="47"/>
      <c r="V33" s="47"/>
      <c r="W33" s="47"/>
      <c r="X33" s="47"/>
      <c r="Y33" s="52"/>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c r="HT33" s="47"/>
      <c r="HU33" s="47"/>
      <c r="HV33" s="47"/>
      <c r="HW33" s="47"/>
      <c r="HX33" s="47"/>
    </row>
    <row r="34" spans="1:251" s="42" customFormat="1" ht="30" customHeight="1" thickBot="1" x14ac:dyDescent="0.25">
      <c r="A34" s="12"/>
      <c r="B34" s="67" t="s">
        <v>121</v>
      </c>
      <c r="C34" s="68" t="s">
        <v>52</v>
      </c>
      <c r="D34" s="91">
        <v>1</v>
      </c>
      <c r="E34" s="69">
        <f>E33</f>
        <v>45950</v>
      </c>
      <c r="F34" s="69">
        <f>E34+3</f>
        <v>45953</v>
      </c>
      <c r="G34" s="14"/>
      <c r="H34" s="4"/>
      <c r="I34" s="47"/>
      <c r="J34" s="47"/>
      <c r="K34" s="47"/>
      <c r="L34" s="47"/>
      <c r="M34" s="47"/>
      <c r="N34" s="47"/>
      <c r="O34" s="47"/>
      <c r="P34" s="47"/>
      <c r="Q34" s="47"/>
      <c r="R34" s="47"/>
      <c r="S34" s="47"/>
      <c r="T34" s="47"/>
      <c r="U34" s="47"/>
      <c r="V34" s="47"/>
      <c r="W34" s="47"/>
      <c r="X34" s="47"/>
      <c r="Y34" s="52"/>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c r="HT34" s="47"/>
      <c r="HU34" s="47"/>
      <c r="HV34" s="47"/>
      <c r="HW34" s="47"/>
      <c r="HX34" s="47"/>
    </row>
    <row r="35" spans="1:251" s="42" customFormat="1" ht="30" customHeight="1" thickBot="1" x14ac:dyDescent="0.25">
      <c r="A35" s="12"/>
      <c r="B35" s="67" t="s">
        <v>122</v>
      </c>
      <c r="C35" s="68" t="s">
        <v>52</v>
      </c>
      <c r="D35" s="91">
        <v>1</v>
      </c>
      <c r="E35" s="69">
        <f>F34-1</f>
        <v>45952</v>
      </c>
      <c r="F35" s="69">
        <f>E35+1</f>
        <v>45953</v>
      </c>
      <c r="G35" s="14"/>
      <c r="H35" s="4"/>
      <c r="I35" s="47"/>
      <c r="J35" s="47"/>
      <c r="K35" s="47"/>
      <c r="L35" s="47"/>
      <c r="M35" s="47"/>
      <c r="N35" s="47"/>
      <c r="O35" s="47"/>
      <c r="P35" s="47"/>
      <c r="Q35" s="47"/>
      <c r="R35" s="47"/>
      <c r="S35" s="47"/>
      <c r="T35" s="47"/>
      <c r="U35" s="47"/>
      <c r="V35" s="47"/>
      <c r="W35" s="47"/>
      <c r="X35" s="47"/>
      <c r="Y35" s="52"/>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c r="HT35" s="47"/>
      <c r="HU35" s="47"/>
      <c r="HV35" s="47"/>
      <c r="HW35" s="47"/>
      <c r="HX35" s="47"/>
    </row>
    <row r="36" spans="1:251" s="42" customFormat="1" ht="30" customHeight="1" thickBot="1" x14ac:dyDescent="0.25">
      <c r="A36" s="12"/>
      <c r="B36" s="67" t="s">
        <v>123</v>
      </c>
      <c r="C36" s="68" t="s">
        <v>60</v>
      </c>
      <c r="D36" s="91">
        <v>1</v>
      </c>
      <c r="E36" s="69">
        <f>F35</f>
        <v>45953</v>
      </c>
      <c r="F36" s="69">
        <f>E36+1</f>
        <v>45954</v>
      </c>
      <c r="G36" s="14"/>
      <c r="H36" s="4"/>
      <c r="I36" s="47"/>
      <c r="J36" s="47"/>
      <c r="K36" s="47"/>
      <c r="L36" s="47"/>
      <c r="M36" s="47"/>
      <c r="N36" s="47"/>
      <c r="O36" s="47"/>
      <c r="P36" s="47"/>
      <c r="Q36" s="47"/>
      <c r="R36" s="47"/>
      <c r="S36" s="47"/>
      <c r="T36" s="47"/>
      <c r="U36" s="47"/>
      <c r="V36" s="47"/>
      <c r="W36" s="47"/>
      <c r="X36" s="47"/>
      <c r="Y36" s="52"/>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row>
    <row r="37" spans="1:251" s="42" customFormat="1" ht="30" customHeight="1" thickBot="1" x14ac:dyDescent="0.25">
      <c r="A37" s="12"/>
      <c r="B37" s="67" t="s">
        <v>38</v>
      </c>
      <c r="C37" s="68" t="s">
        <v>52</v>
      </c>
      <c r="D37" s="91">
        <v>1</v>
      </c>
      <c r="E37" s="69">
        <f>F36</f>
        <v>45954</v>
      </c>
      <c r="F37" s="69">
        <f>F36</f>
        <v>45954</v>
      </c>
      <c r="G37" s="14"/>
      <c r="H37" s="4">
        <f t="shared" si="15"/>
        <v>1</v>
      </c>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47"/>
      <c r="EO37" s="47"/>
      <c r="EP37" s="47"/>
      <c r="EQ37" s="47"/>
      <c r="ER37" s="47"/>
      <c r="ES37" s="47"/>
      <c r="ET37" s="47"/>
      <c r="EU37" s="47"/>
      <c r="EV37" s="47"/>
      <c r="EW37" s="47"/>
      <c r="EX37" s="47"/>
      <c r="EY37" s="47"/>
      <c r="EZ37" s="47"/>
      <c r="FA37" s="47"/>
      <c r="FB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c r="GU37" s="47"/>
      <c r="GV37" s="47"/>
      <c r="GW37" s="47"/>
      <c r="GX37" s="47"/>
      <c r="GY37" s="47"/>
      <c r="GZ37" s="47"/>
      <c r="HA37" s="47"/>
      <c r="HB37" s="47"/>
      <c r="HC37" s="47"/>
      <c r="HD37" s="47"/>
      <c r="HE37" s="47"/>
      <c r="HF37" s="47"/>
      <c r="HG37" s="47"/>
      <c r="HH37" s="47"/>
      <c r="HI37" s="47"/>
      <c r="HJ37" s="47"/>
      <c r="HK37" s="47"/>
      <c r="HL37" s="47"/>
      <c r="HM37" s="47"/>
      <c r="HN37" s="47"/>
      <c r="HO37" s="47"/>
      <c r="HP37" s="47"/>
      <c r="HQ37" s="47"/>
      <c r="HR37" s="47"/>
      <c r="HS37" s="47"/>
      <c r="HT37" s="47"/>
      <c r="HU37" s="47"/>
      <c r="HV37" s="47"/>
      <c r="HW37" s="47"/>
      <c r="HX37" s="47"/>
    </row>
    <row r="38" spans="1:251" s="42" customFormat="1" ht="30" customHeight="1" thickBot="1" x14ac:dyDescent="0.25">
      <c r="A38" s="12"/>
      <c r="B38" s="67" t="s">
        <v>124</v>
      </c>
      <c r="C38" s="68" t="s">
        <v>60</v>
      </c>
      <c r="D38" s="91">
        <v>1</v>
      </c>
      <c r="E38" s="69">
        <f>F37</f>
        <v>45954</v>
      </c>
      <c r="F38" s="69">
        <f>F37</f>
        <v>45954</v>
      </c>
      <c r="G38" s="14"/>
      <c r="H38" s="4">
        <f t="shared" si="15"/>
        <v>1</v>
      </c>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s="66"/>
      <c r="DR38" s="66"/>
      <c r="DS38" s="66"/>
      <c r="DT38" s="66"/>
      <c r="DU38" s="66"/>
      <c r="DV38" s="66"/>
      <c r="DW38" s="66"/>
      <c r="DX38" s="66"/>
      <c r="DY38" s="66"/>
      <c r="DZ38" s="66"/>
      <c r="EA38" s="66"/>
      <c r="EB38" s="66"/>
      <c r="EC38" s="66"/>
      <c r="ED38" s="66"/>
      <c r="EE38" s="66"/>
      <c r="EF38" s="66"/>
      <c r="EG38" s="66"/>
      <c r="EH38" s="66"/>
      <c r="EI38" s="66"/>
      <c r="EJ38" s="66"/>
      <c r="EK38" s="66"/>
      <c r="EL38" s="66"/>
      <c r="EM38" s="66"/>
      <c r="EN38" s="66"/>
      <c r="EO38" s="66"/>
      <c r="EP38" s="66"/>
      <c r="EQ38" s="66"/>
      <c r="ER38" s="66"/>
      <c r="ES38" s="66"/>
      <c r="ET38" s="66"/>
      <c r="EU38" s="66"/>
      <c r="EV38" s="66"/>
      <c r="EW38" s="66"/>
      <c r="EX38" s="66"/>
      <c r="EY38" s="66"/>
      <c r="EZ38" s="66"/>
      <c r="FA38" s="66"/>
      <c r="FB38" s="66"/>
      <c r="FC38" s="66"/>
      <c r="FD38" s="66"/>
      <c r="FE38" s="66"/>
      <c r="FF38" s="66"/>
      <c r="FG38" s="66"/>
      <c r="FH38" s="66"/>
      <c r="FI38" s="66"/>
      <c r="FJ38" s="66"/>
      <c r="FK38" s="66"/>
      <c r="FL38" s="66"/>
      <c r="FM38" s="66"/>
      <c r="FN38" s="66"/>
      <c r="FO38" s="66"/>
      <c r="FP38" s="66"/>
      <c r="FQ38" s="66"/>
      <c r="FR38" s="66"/>
      <c r="FS38" s="66"/>
      <c r="FT38" s="66"/>
      <c r="FU38" s="66"/>
      <c r="FV38" s="66"/>
      <c r="FW38" s="66"/>
      <c r="FX38" s="66"/>
      <c r="FY38" s="66"/>
      <c r="FZ38" s="66"/>
      <c r="GA38" s="66"/>
      <c r="GB38" s="66"/>
      <c r="GC38" s="66"/>
      <c r="GD38" s="66"/>
      <c r="GE38" s="66"/>
      <c r="GF38" s="66"/>
      <c r="GG38" s="66"/>
      <c r="GH38" s="66"/>
      <c r="GI38" s="66"/>
      <c r="GJ38" s="66"/>
      <c r="GK38" s="66"/>
      <c r="GL38" s="66"/>
      <c r="GM38" s="66"/>
      <c r="GN38" s="66"/>
      <c r="GO38" s="66"/>
      <c r="GP38" s="66"/>
      <c r="GQ38" s="66"/>
      <c r="GR38" s="66"/>
      <c r="GS38" s="66"/>
      <c r="GT38" s="66"/>
      <c r="GU38" s="66"/>
      <c r="GV38" s="66"/>
      <c r="GW38" s="66"/>
      <c r="GX38" s="66"/>
      <c r="GY38" s="66"/>
      <c r="GZ38" s="66"/>
      <c r="HA38" s="66"/>
      <c r="HB38" s="66"/>
      <c r="HC38" s="66"/>
      <c r="HD38" s="66"/>
      <c r="HE38" s="66"/>
      <c r="HF38" s="66"/>
      <c r="HG38" s="66"/>
      <c r="HH38" s="66"/>
      <c r="HI38" s="66"/>
      <c r="HJ38" s="66"/>
      <c r="HK38" s="66"/>
      <c r="HL38" s="66"/>
      <c r="HM38" s="66"/>
      <c r="HN38" s="66"/>
      <c r="HO38" s="66"/>
      <c r="HP38" s="66"/>
      <c r="HQ38" s="66"/>
      <c r="HR38" s="66"/>
      <c r="HS38" s="66"/>
      <c r="HT38" s="66"/>
      <c r="HU38" s="66"/>
      <c r="HV38" s="66"/>
      <c r="HW38" s="66"/>
      <c r="HX38" s="66"/>
    </row>
    <row r="39" spans="1:251" s="42" customFormat="1" ht="30" customHeight="1" thickBot="1" x14ac:dyDescent="0.25">
      <c r="A39" s="12"/>
      <c r="B39" s="70" t="s">
        <v>125</v>
      </c>
      <c r="C39" s="71"/>
      <c r="D39" s="72"/>
      <c r="E39" s="73"/>
      <c r="F39" s="74"/>
      <c r="G39" s="14"/>
      <c r="H39" s="4" t="str">
        <f t="shared" si="15"/>
        <v/>
      </c>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47"/>
      <c r="EO39" s="47"/>
      <c r="EP39" s="47"/>
      <c r="EQ39" s="47"/>
      <c r="ER39" s="47"/>
      <c r="ES39" s="47"/>
      <c r="ET39" s="47"/>
      <c r="EU39" s="47"/>
      <c r="EV39" s="47"/>
      <c r="EW39" s="47"/>
      <c r="EX39" s="47"/>
      <c r="EY39" s="47"/>
      <c r="EZ39" s="47"/>
      <c r="FA39" s="47"/>
      <c r="FB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c r="GU39" s="47"/>
      <c r="GV39" s="47"/>
      <c r="GW39" s="47"/>
      <c r="GX39" s="47"/>
      <c r="GY39" s="47"/>
      <c r="GZ39" s="47"/>
      <c r="HA39" s="47"/>
      <c r="HB39" s="47"/>
      <c r="HC39" s="47"/>
      <c r="HD39" s="47"/>
      <c r="HE39" s="47"/>
      <c r="HF39" s="47"/>
      <c r="HG39" s="47"/>
      <c r="HH39" s="47"/>
      <c r="HI39" s="47"/>
      <c r="HJ39" s="47"/>
      <c r="HK39" s="47"/>
      <c r="HL39" s="47"/>
      <c r="HM39" s="47"/>
      <c r="HN39" s="47"/>
      <c r="HO39" s="47"/>
      <c r="HP39" s="47"/>
      <c r="HQ39" s="47"/>
      <c r="HR39" s="47"/>
      <c r="HS39" s="47"/>
      <c r="HT39" s="47"/>
      <c r="HU39" s="47"/>
      <c r="HV39" s="47"/>
      <c r="HW39" s="47"/>
      <c r="HX39" s="47"/>
    </row>
    <row r="40" spans="1:251" s="42" customFormat="1" ht="30" customHeight="1" thickBot="1" x14ac:dyDescent="0.25">
      <c r="A40" s="12"/>
      <c r="B40" s="76" t="s">
        <v>126</v>
      </c>
      <c r="C40" s="77" t="s">
        <v>97</v>
      </c>
      <c r="D40" s="92">
        <v>1</v>
      </c>
      <c r="E40" s="78">
        <f>F38+2</f>
        <v>45956</v>
      </c>
      <c r="F40" s="78">
        <f>E40+3</f>
        <v>45959</v>
      </c>
      <c r="G40" s="14"/>
      <c r="H40" s="4"/>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47"/>
      <c r="EJ40" s="47"/>
      <c r="EK40" s="47"/>
      <c r="EL40" s="47"/>
      <c r="EM40" s="47"/>
      <c r="EN40" s="47"/>
      <c r="EO40" s="47"/>
      <c r="EP40" s="47"/>
      <c r="EQ40" s="47"/>
      <c r="ER40" s="47"/>
      <c r="ES40" s="47"/>
      <c r="ET40" s="47"/>
      <c r="EU40" s="47"/>
      <c r="EV40" s="47"/>
      <c r="EW40" s="47"/>
      <c r="EX40" s="47"/>
      <c r="EY40" s="47"/>
      <c r="EZ40" s="47"/>
      <c r="FA40" s="47"/>
      <c r="FB40" s="47"/>
      <c r="FC40" s="47"/>
      <c r="FD40" s="47"/>
      <c r="FE40" s="47"/>
      <c r="FF40" s="47"/>
      <c r="FG40" s="47"/>
      <c r="FH40" s="47"/>
      <c r="FI40" s="47"/>
      <c r="FJ40" s="47"/>
      <c r="FK40" s="47"/>
      <c r="FL40" s="47"/>
      <c r="FM40" s="47"/>
      <c r="FN40" s="47"/>
      <c r="FO40" s="47"/>
      <c r="FP40" s="47"/>
      <c r="FQ40" s="47"/>
      <c r="FR40" s="47"/>
      <c r="FS40" s="47"/>
      <c r="FT40" s="47"/>
      <c r="FU40" s="47"/>
      <c r="FV40" s="47"/>
      <c r="FW40" s="47"/>
      <c r="FX40" s="47"/>
      <c r="FY40" s="47"/>
      <c r="FZ40" s="47"/>
      <c r="GA40" s="47"/>
      <c r="GB40" s="47"/>
      <c r="GC40" s="47"/>
      <c r="GD40" s="47"/>
      <c r="GE40" s="47"/>
      <c r="GF40" s="47"/>
      <c r="GG40" s="47"/>
      <c r="GH40" s="47"/>
      <c r="GI40" s="47"/>
      <c r="GJ40" s="47"/>
      <c r="GK40" s="47"/>
      <c r="GL40" s="47"/>
      <c r="GM40" s="47"/>
      <c r="GN40" s="47"/>
      <c r="GO40" s="47"/>
      <c r="GP40" s="47"/>
      <c r="GQ40" s="47"/>
      <c r="GR40" s="47"/>
      <c r="GS40" s="47"/>
      <c r="GT40" s="47"/>
      <c r="GU40" s="47"/>
      <c r="GV40" s="47"/>
      <c r="GW40" s="47"/>
      <c r="GX40" s="47"/>
      <c r="GY40" s="47"/>
      <c r="GZ40" s="47"/>
      <c r="HA40" s="47"/>
      <c r="HB40" s="47"/>
      <c r="HC40" s="47"/>
      <c r="HD40" s="47"/>
      <c r="HE40" s="47"/>
      <c r="HF40" s="47"/>
      <c r="HG40" s="47"/>
      <c r="HH40" s="47"/>
      <c r="HI40" s="47"/>
      <c r="HJ40" s="47"/>
      <c r="HK40" s="47"/>
      <c r="HL40" s="47"/>
      <c r="HM40" s="47"/>
      <c r="HN40" s="47"/>
      <c r="HO40" s="47"/>
      <c r="HP40" s="47"/>
      <c r="HQ40" s="47"/>
      <c r="HR40" s="47"/>
      <c r="HS40" s="47"/>
      <c r="HT40" s="47"/>
      <c r="HU40" s="47"/>
      <c r="HV40" s="47"/>
      <c r="HW40" s="47"/>
      <c r="HX40" s="47"/>
    </row>
    <row r="41" spans="1:251" s="42" customFormat="1" ht="30" customHeight="1" thickBot="1" x14ac:dyDescent="0.25">
      <c r="A41" s="12"/>
      <c r="B41" s="76" t="s">
        <v>127</v>
      </c>
      <c r="C41" s="77" t="s">
        <v>97</v>
      </c>
      <c r="D41" s="92">
        <v>1</v>
      </c>
      <c r="E41" s="78">
        <f>F40</f>
        <v>45959</v>
      </c>
      <c r="F41" s="78">
        <f>E41+4</f>
        <v>45963</v>
      </c>
      <c r="G41" s="14"/>
      <c r="H41" s="4">
        <f t="shared" si="15"/>
        <v>5</v>
      </c>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47"/>
      <c r="EO41" s="47"/>
      <c r="EP41" s="47"/>
      <c r="EQ41" s="47"/>
      <c r="ER41" s="47"/>
      <c r="ES41" s="47"/>
      <c r="ET41" s="47"/>
      <c r="EU41" s="47"/>
      <c r="EV41" s="47"/>
      <c r="EW41" s="47"/>
      <c r="EX41" s="47"/>
      <c r="EY41" s="47"/>
      <c r="EZ41" s="47"/>
      <c r="FA41" s="47"/>
      <c r="FB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c r="GU41" s="47"/>
      <c r="GV41" s="47"/>
      <c r="GW41" s="47"/>
      <c r="GX41" s="47"/>
      <c r="GY41" s="47"/>
      <c r="GZ41" s="47"/>
      <c r="HA41" s="47"/>
      <c r="HB41" s="47"/>
      <c r="HC41" s="47"/>
      <c r="HD41" s="47"/>
      <c r="HE41" s="47"/>
      <c r="HF41" s="47"/>
      <c r="HG41" s="47"/>
      <c r="HH41" s="47"/>
      <c r="HI41" s="47"/>
      <c r="HJ41" s="47"/>
      <c r="HK41" s="47"/>
      <c r="HL41" s="47"/>
      <c r="HM41" s="47"/>
      <c r="HN41" s="47"/>
      <c r="HO41" s="47"/>
      <c r="HP41" s="47"/>
      <c r="HQ41" s="47"/>
      <c r="HR41" s="47"/>
      <c r="HS41" s="47"/>
      <c r="HT41" s="47"/>
      <c r="HU41" s="47"/>
      <c r="HV41" s="47"/>
      <c r="HW41" s="47"/>
      <c r="HX41" s="47"/>
    </row>
    <row r="42" spans="1:251" s="42" customFormat="1" ht="30" customHeight="1" thickBot="1" x14ac:dyDescent="0.25">
      <c r="A42" s="12"/>
      <c r="B42" s="76" t="s">
        <v>128</v>
      </c>
      <c r="C42" s="77" t="s">
        <v>97</v>
      </c>
      <c r="D42" s="92">
        <v>1</v>
      </c>
      <c r="E42" s="78">
        <f>F41+1</f>
        <v>45964</v>
      </c>
      <c r="F42" s="78">
        <f>E42+3</f>
        <v>45967</v>
      </c>
      <c r="G42" s="14"/>
      <c r="H42" s="4">
        <f t="shared" si="15"/>
        <v>4</v>
      </c>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7"/>
      <c r="GR42" s="47"/>
      <c r="GS42" s="47"/>
      <c r="GT42" s="47"/>
      <c r="GU42" s="47"/>
      <c r="GV42" s="47"/>
      <c r="GW42" s="47"/>
      <c r="GX42" s="47"/>
      <c r="GY42" s="47"/>
      <c r="GZ42" s="47"/>
      <c r="HA42" s="47"/>
      <c r="HB42" s="47"/>
      <c r="HC42" s="47"/>
      <c r="HD42" s="47"/>
      <c r="HE42" s="47"/>
      <c r="HF42" s="47"/>
      <c r="HG42" s="47"/>
      <c r="HH42" s="47"/>
      <c r="HI42" s="47"/>
      <c r="HJ42" s="47"/>
      <c r="HK42" s="47"/>
      <c r="HL42" s="47"/>
      <c r="HM42" s="47"/>
      <c r="HN42" s="47"/>
      <c r="HO42" s="47"/>
      <c r="HP42" s="47"/>
      <c r="HQ42" s="47"/>
      <c r="HR42" s="47"/>
      <c r="HS42" s="47"/>
      <c r="HT42" s="47"/>
      <c r="HU42" s="47"/>
      <c r="HV42" s="47"/>
      <c r="HW42" s="47"/>
      <c r="HX42" s="47"/>
    </row>
    <row r="43" spans="1:251" s="42" customFormat="1" ht="30" customHeight="1" thickBot="1" x14ac:dyDescent="0.25">
      <c r="A43" s="12"/>
      <c r="B43" s="76" t="s">
        <v>129</v>
      </c>
      <c r="C43" s="77" t="s">
        <v>97</v>
      </c>
      <c r="D43" s="92">
        <v>1</v>
      </c>
      <c r="E43" s="78">
        <f>E40+5</f>
        <v>45961</v>
      </c>
      <c r="F43" s="78">
        <f>E43+3</f>
        <v>45964</v>
      </c>
      <c r="G43" s="14"/>
      <c r="H43" s="4">
        <f t="shared" si="15"/>
        <v>4</v>
      </c>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47"/>
      <c r="EO43" s="47"/>
      <c r="EP43" s="47"/>
      <c r="EQ43" s="47"/>
      <c r="ER43" s="47"/>
      <c r="ES43" s="47"/>
      <c r="ET43" s="47"/>
      <c r="EU43" s="47"/>
      <c r="EV43" s="47"/>
      <c r="EW43" s="47"/>
      <c r="EX43" s="47"/>
      <c r="EY43" s="47"/>
      <c r="EZ43" s="47"/>
      <c r="FA43" s="47"/>
      <c r="FB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E43" s="47"/>
      <c r="HF43" s="47"/>
      <c r="HG43" s="47"/>
      <c r="HH43" s="47"/>
      <c r="HI43" s="47"/>
      <c r="HJ43" s="47"/>
      <c r="HK43" s="47"/>
      <c r="HL43" s="47"/>
      <c r="HM43" s="47"/>
      <c r="HN43" s="47"/>
      <c r="HO43" s="47"/>
      <c r="HP43" s="47"/>
      <c r="HQ43" s="47"/>
      <c r="HR43" s="47"/>
      <c r="HS43" s="47"/>
      <c r="HT43" s="47"/>
      <c r="HU43" s="47"/>
      <c r="HV43" s="47"/>
      <c r="HW43" s="47"/>
      <c r="HX43" s="47"/>
    </row>
    <row r="44" spans="1:251" s="42" customFormat="1" ht="30" customHeight="1" thickBot="1" x14ac:dyDescent="0.25">
      <c r="A44" s="12"/>
      <c r="B44" s="76" t="s">
        <v>130</v>
      </c>
      <c r="C44" s="77" t="s">
        <v>97</v>
      </c>
      <c r="D44" s="92">
        <v>1</v>
      </c>
      <c r="E44" s="78">
        <f>E40+7</f>
        <v>45963</v>
      </c>
      <c r="F44" s="78">
        <f>E44+5</f>
        <v>45968</v>
      </c>
      <c r="G44" s="14"/>
      <c r="H44" s="4">
        <f t="shared" si="15"/>
        <v>6</v>
      </c>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47"/>
      <c r="EO44" s="47"/>
      <c r="EP44" s="47"/>
      <c r="EQ44" s="47"/>
      <c r="ER44" s="47"/>
      <c r="ES44" s="47"/>
      <c r="ET44" s="47"/>
      <c r="EU44" s="47"/>
      <c r="EV44" s="47"/>
      <c r="EW44" s="47"/>
      <c r="EX44" s="47"/>
      <c r="EY44" s="47"/>
      <c r="EZ44" s="47"/>
      <c r="FA44" s="47"/>
      <c r="FB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7"/>
      <c r="GR44" s="47"/>
      <c r="GS44" s="47"/>
      <c r="GT44" s="47"/>
      <c r="GU44" s="47"/>
      <c r="GV44" s="47"/>
      <c r="GW44" s="47"/>
      <c r="GX44" s="47"/>
      <c r="GY44" s="47"/>
      <c r="GZ44" s="47"/>
      <c r="HA44" s="47"/>
      <c r="HB44" s="47"/>
      <c r="HC44" s="47"/>
      <c r="HD44" s="47"/>
      <c r="HE44" s="47"/>
      <c r="HF44" s="47"/>
      <c r="HG44" s="47"/>
      <c r="HH44" s="47"/>
      <c r="HI44" s="47"/>
      <c r="HJ44" s="47"/>
      <c r="HK44" s="47"/>
      <c r="HL44" s="47"/>
      <c r="HM44" s="47"/>
      <c r="HN44" s="47"/>
      <c r="HO44" s="47"/>
      <c r="HP44" s="47"/>
      <c r="HQ44" s="47"/>
      <c r="HR44" s="47"/>
      <c r="HS44" s="47"/>
      <c r="HT44" s="47"/>
      <c r="HU44" s="47"/>
      <c r="HV44" s="47"/>
      <c r="HW44" s="47"/>
      <c r="HX44" s="47"/>
    </row>
    <row r="45" spans="1:251" s="42" customFormat="1" ht="30" customHeight="1" thickBot="1" x14ac:dyDescent="0.25">
      <c r="A45" s="12"/>
      <c r="B45" s="36" t="s">
        <v>27</v>
      </c>
      <c r="C45" s="37"/>
      <c r="D45" s="38"/>
      <c r="E45" s="39"/>
      <c r="F45" s="40"/>
      <c r="G45" s="14"/>
      <c r="H45" s="4" t="str">
        <f t="shared" si="15"/>
        <v/>
      </c>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75"/>
      <c r="CU45" s="75"/>
      <c r="CV45" s="75"/>
      <c r="CW45" s="75"/>
      <c r="CX45" s="75"/>
      <c r="CY45" s="75"/>
      <c r="CZ45" s="75"/>
      <c r="DA45" s="75"/>
      <c r="DB45" s="75"/>
      <c r="DC45" s="75"/>
      <c r="DD45" s="75"/>
      <c r="DE45" s="75"/>
      <c r="DF45" s="75"/>
      <c r="DG45" s="75"/>
      <c r="DH45" s="75"/>
      <c r="DI45" s="75"/>
      <c r="DJ45" s="75"/>
      <c r="DK45" s="75"/>
      <c r="DL45" s="75"/>
      <c r="DM45" s="75"/>
      <c r="DN45" s="75"/>
      <c r="DO45" s="75"/>
      <c r="DP45" s="75"/>
      <c r="DQ45" s="75"/>
      <c r="DR45" s="75"/>
      <c r="DS45" s="75"/>
      <c r="DT45" s="75"/>
      <c r="DU45" s="75"/>
      <c r="DV45" s="75"/>
      <c r="DW45" s="75"/>
      <c r="DX45" s="75"/>
      <c r="DY45" s="75"/>
      <c r="DZ45" s="75"/>
      <c r="EA45" s="75"/>
      <c r="EB45" s="75"/>
      <c r="EC45" s="75"/>
      <c r="ED45" s="75"/>
      <c r="EE45" s="75"/>
      <c r="EF45" s="75"/>
      <c r="EG45" s="75"/>
      <c r="EH45" s="75"/>
      <c r="EI45" s="75"/>
      <c r="EJ45" s="75"/>
      <c r="EK45" s="75"/>
      <c r="EL45" s="75"/>
      <c r="EM45" s="75"/>
      <c r="EN45" s="75"/>
      <c r="EO45" s="75"/>
      <c r="EP45" s="75"/>
      <c r="EQ45" s="75"/>
      <c r="ER45" s="75"/>
      <c r="ES45" s="75"/>
      <c r="ET45" s="75"/>
      <c r="EU45" s="75"/>
      <c r="EV45" s="75"/>
      <c r="EW45" s="75"/>
      <c r="EX45" s="75"/>
      <c r="EY45" s="75"/>
      <c r="EZ45" s="75"/>
      <c r="FA45" s="75"/>
      <c r="FB45" s="75"/>
      <c r="FC45" s="75"/>
      <c r="FD45" s="75"/>
      <c r="FE45" s="75"/>
      <c r="FF45" s="75"/>
      <c r="FG45" s="75"/>
      <c r="FH45" s="75"/>
      <c r="FI45" s="75"/>
      <c r="FJ45" s="75"/>
      <c r="FK45" s="75"/>
      <c r="FL45" s="75"/>
      <c r="FM45" s="75"/>
      <c r="FN45" s="75"/>
      <c r="FO45" s="75"/>
      <c r="FP45" s="75"/>
      <c r="FQ45" s="75"/>
      <c r="FR45" s="75"/>
      <c r="FS45" s="75"/>
      <c r="FT45" s="75"/>
      <c r="FU45" s="75"/>
      <c r="FV45" s="75"/>
      <c r="FW45" s="75"/>
      <c r="FX45" s="75"/>
      <c r="FY45" s="75"/>
      <c r="FZ45" s="75"/>
      <c r="GA45" s="75"/>
      <c r="GB45" s="75"/>
      <c r="GC45" s="75"/>
      <c r="GD45" s="75"/>
      <c r="GE45" s="75"/>
      <c r="GF45" s="75"/>
      <c r="GG45" s="75"/>
      <c r="GH45" s="75"/>
      <c r="GI45" s="75"/>
      <c r="GJ45" s="75"/>
      <c r="GK45" s="75"/>
      <c r="GL45" s="75"/>
      <c r="GM45" s="75"/>
      <c r="GN45" s="75"/>
      <c r="GO45" s="75"/>
      <c r="GP45" s="75"/>
      <c r="GQ45" s="75"/>
      <c r="GR45" s="75"/>
      <c r="GS45" s="75"/>
      <c r="GT45" s="75"/>
      <c r="GU45" s="75"/>
      <c r="GV45" s="75"/>
      <c r="GW45" s="75"/>
      <c r="GX45" s="75"/>
      <c r="GY45" s="75"/>
      <c r="GZ45" s="75"/>
      <c r="HA45" s="75"/>
      <c r="HB45" s="75"/>
      <c r="HC45" s="75"/>
      <c r="HD45" s="75"/>
      <c r="HE45" s="75"/>
      <c r="HF45" s="75"/>
      <c r="HG45" s="75"/>
      <c r="HH45" s="75"/>
      <c r="HI45" s="75"/>
      <c r="HJ45" s="75"/>
      <c r="HK45" s="75"/>
      <c r="HL45" s="75"/>
      <c r="HM45" s="75"/>
      <c r="HN45" s="75"/>
      <c r="HO45" s="75"/>
      <c r="HP45" s="75"/>
      <c r="HQ45" s="75"/>
      <c r="HR45" s="75"/>
      <c r="HS45" s="75"/>
      <c r="HT45" s="75"/>
      <c r="HU45" s="75"/>
      <c r="HV45" s="75"/>
      <c r="HW45" s="75"/>
      <c r="HX45" s="75"/>
    </row>
    <row r="46" spans="1:251" s="42" customFormat="1" ht="30" customHeight="1" thickBot="1" x14ac:dyDescent="0.25">
      <c r="A46" s="12"/>
      <c r="B46" s="43" t="s">
        <v>28</v>
      </c>
      <c r="C46" s="44" t="s">
        <v>60</v>
      </c>
      <c r="D46" s="45">
        <v>1</v>
      </c>
      <c r="E46" s="46">
        <f>F76</f>
        <v>45942</v>
      </c>
      <c r="F46" s="46">
        <f>E46</f>
        <v>45942</v>
      </c>
      <c r="G46" s="14"/>
      <c r="H46" s="4">
        <f t="shared" si="15"/>
        <v>1</v>
      </c>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row>
    <row r="47" spans="1:251" s="42" customFormat="1" ht="30" customHeight="1" thickBot="1" x14ac:dyDescent="0.25">
      <c r="A47" s="12"/>
      <c r="B47" s="48" t="s">
        <v>29</v>
      </c>
      <c r="C47" s="49" t="s">
        <v>60</v>
      </c>
      <c r="D47" s="50">
        <v>1</v>
      </c>
      <c r="E47" s="51">
        <f>F46</f>
        <v>45942</v>
      </c>
      <c r="F47" s="51">
        <f>E47</f>
        <v>45942</v>
      </c>
      <c r="G47" s="14"/>
      <c r="H47" s="4">
        <f t="shared" si="15"/>
        <v>1</v>
      </c>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c r="GU47" s="47"/>
      <c r="GV47" s="47"/>
      <c r="GW47" s="47"/>
      <c r="GX47" s="47"/>
      <c r="GY47" s="47"/>
      <c r="GZ47" s="47"/>
      <c r="HA47" s="47"/>
      <c r="HB47" s="47"/>
      <c r="HC47" s="47"/>
      <c r="HD47" s="47"/>
      <c r="HE47" s="47"/>
      <c r="HF47" s="47"/>
      <c r="HG47" s="47"/>
      <c r="HH47" s="47"/>
      <c r="HI47" s="47"/>
      <c r="HJ47" s="47"/>
      <c r="HK47" s="47"/>
      <c r="HL47" s="47"/>
      <c r="HM47" s="47"/>
      <c r="HN47" s="47"/>
      <c r="HO47" s="47"/>
      <c r="HP47" s="47"/>
      <c r="HQ47" s="47"/>
      <c r="HR47" s="47"/>
      <c r="HS47" s="47"/>
      <c r="HT47" s="47"/>
      <c r="HU47" s="47"/>
      <c r="HV47" s="47"/>
      <c r="HW47" s="47"/>
      <c r="HX47" s="47"/>
      <c r="HY47" s="47"/>
      <c r="HZ47" s="47"/>
      <c r="IA47" s="47"/>
      <c r="IB47" s="47"/>
      <c r="IC47" s="47"/>
      <c r="ID47" s="47"/>
      <c r="IE47" s="47"/>
      <c r="IF47" s="47"/>
      <c r="IG47" s="47"/>
      <c r="IH47" s="47"/>
      <c r="II47" s="47"/>
      <c r="IJ47" s="47"/>
      <c r="IK47" s="47"/>
      <c r="IL47" s="47"/>
      <c r="IM47" s="47"/>
      <c r="IN47" s="47"/>
      <c r="IO47" s="47"/>
      <c r="IP47" s="47"/>
      <c r="IQ47" s="47"/>
    </row>
    <row r="48" spans="1:251" s="42" customFormat="1" ht="30" customHeight="1" thickBot="1" x14ac:dyDescent="0.25">
      <c r="A48" s="12"/>
      <c r="B48" s="48" t="s">
        <v>30</v>
      </c>
      <c r="C48" s="49" t="s">
        <v>52</v>
      </c>
      <c r="D48" s="50">
        <v>1</v>
      </c>
      <c r="E48" s="51">
        <f>F70+1</f>
        <v>45943</v>
      </c>
      <c r="F48" s="51">
        <f>E48</f>
        <v>45943</v>
      </c>
      <c r="G48" s="14"/>
      <c r="H48" s="4">
        <f t="shared" si="15"/>
        <v>1</v>
      </c>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47"/>
      <c r="EJ48" s="47"/>
      <c r="EK48" s="47"/>
      <c r="EL48" s="47"/>
      <c r="EM48" s="47"/>
      <c r="EN48" s="47"/>
      <c r="EO48" s="47"/>
      <c r="EP48" s="47"/>
      <c r="EQ48" s="47"/>
      <c r="ER48" s="47"/>
      <c r="ES48" s="47"/>
      <c r="ET48" s="47"/>
      <c r="EU48" s="47"/>
      <c r="EV48" s="47"/>
      <c r="EW48" s="47"/>
      <c r="EX48" s="47"/>
      <c r="EY48" s="47"/>
      <c r="EZ48" s="47"/>
      <c r="FA48" s="47"/>
      <c r="FB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c r="GU48" s="47"/>
      <c r="GV48" s="47"/>
      <c r="GW48" s="47"/>
      <c r="GX48" s="47"/>
      <c r="GY48" s="47"/>
      <c r="GZ48" s="47"/>
      <c r="HA48" s="47"/>
      <c r="HB48" s="47"/>
      <c r="HC48" s="47"/>
      <c r="HD48" s="47"/>
      <c r="HE48" s="47"/>
      <c r="HF48" s="47"/>
      <c r="HG48" s="47"/>
      <c r="HH48" s="47"/>
      <c r="HI48" s="47"/>
      <c r="HJ48" s="47"/>
      <c r="HK48" s="47"/>
      <c r="HL48" s="47"/>
      <c r="HM48" s="47"/>
      <c r="HN48" s="47"/>
      <c r="HO48" s="47"/>
      <c r="HP48" s="47"/>
      <c r="HQ48" s="47"/>
      <c r="HR48" s="47"/>
      <c r="HS48" s="47"/>
      <c r="HT48" s="47"/>
      <c r="HU48" s="47"/>
      <c r="HV48" s="47"/>
      <c r="HW48" s="47"/>
      <c r="HX48" s="47"/>
      <c r="HY48" s="47"/>
      <c r="HZ48" s="47"/>
      <c r="IA48" s="47"/>
      <c r="IB48" s="47"/>
      <c r="IC48" s="47"/>
      <c r="ID48" s="47"/>
      <c r="IE48" s="47"/>
      <c r="IF48" s="47"/>
      <c r="IG48" s="47"/>
      <c r="IH48" s="47"/>
      <c r="II48" s="47"/>
      <c r="IJ48" s="47"/>
      <c r="IK48" s="47"/>
      <c r="IL48" s="47"/>
      <c r="IM48" s="47"/>
      <c r="IN48" s="47"/>
      <c r="IO48" s="47"/>
      <c r="IP48" s="47"/>
      <c r="IQ48" s="47"/>
    </row>
    <row r="49" spans="1:251" s="42" customFormat="1" ht="30" customHeight="1" thickBot="1" x14ac:dyDescent="0.25">
      <c r="A49" s="13"/>
      <c r="B49" s="48" t="s">
        <v>31</v>
      </c>
      <c r="C49" s="49" t="s">
        <v>60</v>
      </c>
      <c r="D49" s="50">
        <v>1</v>
      </c>
      <c r="E49" s="51">
        <f>F48</f>
        <v>45943</v>
      </c>
      <c r="F49" s="51">
        <f>E49</f>
        <v>45943</v>
      </c>
      <c r="G49" s="14"/>
      <c r="H49" s="5">
        <f t="shared" si="15"/>
        <v>1</v>
      </c>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E49" s="47"/>
      <c r="HF49" s="47"/>
      <c r="HG49" s="47"/>
      <c r="HH49" s="47"/>
      <c r="HI49" s="47"/>
      <c r="HJ49" s="47"/>
      <c r="HK49" s="47"/>
      <c r="HL49" s="47"/>
      <c r="HM49" s="47"/>
      <c r="HN49" s="47"/>
      <c r="HO49" s="47"/>
      <c r="HP49" s="47"/>
      <c r="HQ49" s="47"/>
      <c r="HR49" s="47"/>
      <c r="HS49" s="47"/>
      <c r="HT49" s="47"/>
      <c r="HU49" s="47"/>
      <c r="HV49" s="47"/>
      <c r="HW49" s="47"/>
      <c r="HX49" s="47"/>
      <c r="HY49" s="47"/>
      <c r="HZ49" s="47"/>
      <c r="IA49" s="47"/>
      <c r="IB49" s="47"/>
      <c r="IC49" s="47"/>
      <c r="ID49" s="47"/>
      <c r="IE49" s="47"/>
      <c r="IF49" s="47"/>
      <c r="IG49" s="47"/>
      <c r="IH49" s="47"/>
      <c r="II49" s="47"/>
      <c r="IJ49" s="47"/>
      <c r="IK49" s="47"/>
      <c r="IL49" s="47"/>
      <c r="IM49" s="47"/>
      <c r="IN49" s="47"/>
      <c r="IO49" s="47"/>
      <c r="IP49" s="47"/>
      <c r="IQ49" s="47"/>
    </row>
    <row r="50" spans="1:251" ht="30" customHeight="1" x14ac:dyDescent="0.2">
      <c r="B50" s="48" t="s">
        <v>32</v>
      </c>
      <c r="C50" s="49" t="s">
        <v>52</v>
      </c>
      <c r="D50" s="50">
        <v>1</v>
      </c>
      <c r="E50" s="51">
        <f>F49</f>
        <v>45943</v>
      </c>
      <c r="F50" s="51">
        <f>E50</f>
        <v>45943</v>
      </c>
      <c r="G50" s="3"/>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row>
    <row r="51" spans="1:251" ht="30" customHeight="1" x14ac:dyDescent="0.2">
      <c r="B51" s="48" t="s">
        <v>33</v>
      </c>
      <c r="C51" s="49" t="s">
        <v>60</v>
      </c>
      <c r="D51" s="50">
        <v>1</v>
      </c>
      <c r="E51" s="51">
        <f>E47+2</f>
        <v>45944</v>
      </c>
      <c r="F51" s="51">
        <f>E51+1</f>
        <v>45945</v>
      </c>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E51" s="47"/>
      <c r="HF51" s="47"/>
      <c r="HG51" s="47"/>
      <c r="HH51" s="47"/>
      <c r="HI51" s="47"/>
      <c r="HJ51" s="47"/>
      <c r="HK51" s="47"/>
      <c r="HL51" s="47"/>
      <c r="HM51" s="47"/>
      <c r="HN51" s="47"/>
      <c r="HO51" s="47"/>
      <c r="HP51" s="47"/>
      <c r="HQ51" s="47"/>
      <c r="HR51" s="47"/>
      <c r="HS51" s="47"/>
      <c r="HT51" s="47"/>
      <c r="HU51" s="47"/>
      <c r="HV51" s="47"/>
      <c r="HW51" s="47"/>
      <c r="HX51" s="47"/>
      <c r="HY51" s="47"/>
      <c r="HZ51" s="47"/>
      <c r="IA51" s="47"/>
      <c r="IB51" s="47"/>
      <c r="IC51" s="47"/>
      <c r="ID51" s="47"/>
      <c r="IE51" s="47"/>
      <c r="IF51" s="47"/>
      <c r="IG51" s="47"/>
      <c r="IH51" s="47"/>
      <c r="II51" s="47"/>
      <c r="IJ51" s="47"/>
      <c r="IK51" s="47"/>
      <c r="IL51" s="47"/>
      <c r="IM51" s="47"/>
      <c r="IN51" s="47"/>
      <c r="IO51" s="47"/>
      <c r="IP51" s="47"/>
      <c r="IQ51" s="47"/>
    </row>
    <row r="52" spans="1:251" ht="30" customHeight="1" x14ac:dyDescent="0.2">
      <c r="B52" s="48" t="s">
        <v>34</v>
      </c>
      <c r="C52" s="49" t="s">
        <v>52</v>
      </c>
      <c r="D52" s="50">
        <v>1</v>
      </c>
      <c r="E52" s="51">
        <f>F51</f>
        <v>45945</v>
      </c>
      <c r="F52" s="51">
        <f>E52</f>
        <v>45945</v>
      </c>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47"/>
      <c r="EJ52" s="47"/>
      <c r="EK52" s="47"/>
      <c r="EL52" s="47"/>
      <c r="EM52" s="47"/>
      <c r="EN52" s="47"/>
      <c r="EO52" s="47"/>
      <c r="EP52" s="47"/>
      <c r="EQ52" s="47"/>
      <c r="ER52" s="47"/>
      <c r="ES52" s="47"/>
      <c r="ET52" s="47"/>
      <c r="EU52" s="47"/>
      <c r="EV52" s="47"/>
      <c r="EW52" s="47"/>
      <c r="EX52" s="47"/>
      <c r="EY52" s="47"/>
      <c r="EZ52" s="47"/>
      <c r="FA52" s="47"/>
      <c r="FB52" s="47"/>
      <c r="FC52" s="47"/>
      <c r="FD52" s="47"/>
      <c r="FE52" s="47"/>
      <c r="FF52" s="47"/>
      <c r="FG52" s="47"/>
      <c r="FH52" s="47"/>
      <c r="FI52" s="47"/>
      <c r="FJ52" s="47"/>
      <c r="FK52" s="47"/>
      <c r="FL52" s="47"/>
      <c r="FM52" s="47"/>
      <c r="FN52" s="47"/>
      <c r="FO52" s="47"/>
      <c r="FP52" s="47"/>
      <c r="FQ52" s="47"/>
      <c r="FR52" s="47"/>
      <c r="FS52" s="47"/>
      <c r="FT52" s="47"/>
      <c r="FU52" s="47"/>
      <c r="FV52" s="47"/>
      <c r="FW52" s="47"/>
      <c r="FX52" s="47"/>
      <c r="FY52" s="47"/>
      <c r="FZ52" s="47"/>
      <c r="GA52" s="47"/>
      <c r="GB52" s="47"/>
      <c r="GC52" s="47"/>
      <c r="GD52" s="47"/>
      <c r="GE52" s="47"/>
      <c r="GF52" s="47"/>
      <c r="GG52" s="47"/>
      <c r="GH52" s="47"/>
      <c r="GI52" s="47"/>
      <c r="GJ52" s="47"/>
      <c r="GK52" s="47"/>
      <c r="GL52" s="47"/>
      <c r="GM52" s="47"/>
      <c r="GN52" s="47"/>
      <c r="GO52" s="47"/>
      <c r="GP52" s="47"/>
      <c r="GQ52" s="47"/>
      <c r="GR52" s="47"/>
      <c r="GS52" s="47"/>
      <c r="GT52" s="47"/>
      <c r="GU52" s="47"/>
      <c r="GV52" s="47"/>
      <c r="GW52" s="47"/>
      <c r="GX52" s="47"/>
      <c r="GY52" s="47"/>
      <c r="GZ52" s="47"/>
      <c r="HA52" s="47"/>
      <c r="HB52" s="47"/>
      <c r="HC52" s="47"/>
      <c r="HD52" s="47"/>
      <c r="HE52" s="47"/>
      <c r="HF52" s="47"/>
      <c r="HG52" s="47"/>
      <c r="HH52" s="47"/>
      <c r="HI52" s="47"/>
      <c r="HJ52" s="47"/>
      <c r="HK52" s="47"/>
      <c r="HL52" s="47"/>
      <c r="HM52" s="47"/>
      <c r="HN52" s="47"/>
      <c r="HO52" s="47"/>
      <c r="HP52" s="47"/>
      <c r="HQ52" s="47"/>
      <c r="HR52" s="47"/>
      <c r="HS52" s="47"/>
      <c r="HT52" s="47"/>
      <c r="HU52" s="47"/>
      <c r="HV52" s="47"/>
      <c r="HW52" s="47"/>
      <c r="HX52" s="47"/>
      <c r="HY52" s="47"/>
      <c r="HZ52" s="47"/>
      <c r="IA52" s="47"/>
      <c r="IB52" s="47"/>
      <c r="IC52" s="47"/>
      <c r="ID52" s="47"/>
      <c r="IE52" s="47"/>
      <c r="IF52" s="47"/>
      <c r="IG52" s="47"/>
      <c r="IH52" s="47"/>
      <c r="II52" s="47"/>
      <c r="IJ52" s="47"/>
      <c r="IK52" s="47"/>
      <c r="IL52" s="47"/>
      <c r="IM52" s="47"/>
      <c r="IN52" s="47"/>
      <c r="IO52" s="47"/>
      <c r="IP52" s="47"/>
      <c r="IQ52" s="47"/>
    </row>
    <row r="53" spans="1:251" ht="30" customHeight="1" x14ac:dyDescent="0.2">
      <c r="B53" s="48" t="s">
        <v>35</v>
      </c>
      <c r="C53" s="49" t="s">
        <v>60</v>
      </c>
      <c r="D53" s="50">
        <v>1</v>
      </c>
      <c r="E53" s="51">
        <f>F52</f>
        <v>45945</v>
      </c>
      <c r="F53" s="51">
        <f>E53</f>
        <v>45945</v>
      </c>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7"/>
      <c r="GR53" s="47"/>
      <c r="GS53" s="47"/>
      <c r="GT53" s="47"/>
      <c r="GU53" s="47"/>
      <c r="GV53" s="47"/>
      <c r="GW53" s="47"/>
      <c r="GX53" s="47"/>
      <c r="GY53" s="47"/>
      <c r="GZ53" s="47"/>
      <c r="HA53" s="47"/>
      <c r="HB53" s="47"/>
      <c r="HC53" s="47"/>
      <c r="HD53" s="47"/>
      <c r="HE53" s="47"/>
      <c r="HF53" s="47"/>
      <c r="HG53" s="47"/>
      <c r="HH53" s="47"/>
      <c r="HI53" s="47"/>
      <c r="HJ53" s="47"/>
      <c r="HK53" s="47"/>
      <c r="HL53" s="47"/>
      <c r="HM53" s="47"/>
      <c r="HN53" s="47"/>
      <c r="HO53" s="47"/>
      <c r="HP53" s="47"/>
      <c r="HQ53" s="47"/>
      <c r="HR53" s="47"/>
      <c r="HS53" s="47"/>
      <c r="HT53" s="47"/>
      <c r="HU53" s="47"/>
      <c r="HV53" s="47"/>
      <c r="HW53" s="47"/>
      <c r="HX53" s="47"/>
      <c r="HY53" s="47"/>
      <c r="HZ53" s="47"/>
      <c r="IA53" s="47"/>
      <c r="IB53" s="47"/>
      <c r="IC53" s="47"/>
      <c r="ID53" s="47"/>
      <c r="IE53" s="47"/>
      <c r="IF53" s="47"/>
      <c r="IG53" s="47"/>
      <c r="IH53" s="47"/>
      <c r="II53" s="47"/>
      <c r="IJ53" s="47"/>
      <c r="IK53" s="47"/>
      <c r="IL53" s="47"/>
      <c r="IM53" s="47"/>
      <c r="IN53" s="47"/>
      <c r="IO53" s="47"/>
      <c r="IP53" s="47"/>
      <c r="IQ53" s="47"/>
    </row>
    <row r="54" spans="1:251" ht="30" customHeight="1" x14ac:dyDescent="0.2">
      <c r="B54" s="48" t="s">
        <v>36</v>
      </c>
      <c r="C54" s="49" t="s">
        <v>52</v>
      </c>
      <c r="D54" s="50">
        <v>1</v>
      </c>
      <c r="E54" s="51">
        <f>E53</f>
        <v>45945</v>
      </c>
      <c r="F54" s="51">
        <f>E54</f>
        <v>45945</v>
      </c>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47"/>
      <c r="ES54" s="47"/>
      <c r="ET54" s="47"/>
      <c r="EU54" s="47"/>
      <c r="EV54" s="47"/>
      <c r="EW54" s="47"/>
      <c r="EX54" s="47"/>
      <c r="EY54" s="47"/>
      <c r="EZ54" s="47"/>
      <c r="FA54" s="47"/>
      <c r="FB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7"/>
      <c r="GR54" s="47"/>
      <c r="GS54" s="47"/>
      <c r="GT54" s="47"/>
      <c r="GU54" s="47"/>
      <c r="GV54" s="47"/>
      <c r="GW54" s="47"/>
      <c r="GX54" s="47"/>
      <c r="GY54" s="47"/>
      <c r="GZ54" s="47"/>
      <c r="HA54" s="47"/>
      <c r="HB54" s="47"/>
      <c r="HC54" s="47"/>
      <c r="HD54" s="47"/>
      <c r="HE54" s="47"/>
      <c r="HF54" s="47"/>
      <c r="HG54" s="47"/>
      <c r="HH54" s="47"/>
      <c r="HI54" s="47"/>
      <c r="HJ54" s="47"/>
      <c r="HK54" s="47"/>
      <c r="HL54" s="47"/>
      <c r="HM54" s="47"/>
      <c r="HN54" s="47"/>
      <c r="HO54" s="47"/>
      <c r="HP54" s="47"/>
      <c r="HQ54" s="47"/>
      <c r="HR54" s="47"/>
      <c r="HS54" s="47"/>
      <c r="HT54" s="47"/>
      <c r="HU54" s="47"/>
      <c r="HV54" s="47"/>
      <c r="HW54" s="47"/>
      <c r="HX54" s="47"/>
      <c r="HY54" s="47"/>
      <c r="HZ54" s="47"/>
      <c r="IA54" s="47"/>
      <c r="IB54" s="47"/>
      <c r="IC54" s="47"/>
      <c r="ID54" s="47"/>
      <c r="IE54" s="47"/>
      <c r="IF54" s="47"/>
      <c r="IG54" s="47"/>
      <c r="IH54" s="47"/>
      <c r="II54" s="47"/>
      <c r="IJ54" s="47"/>
      <c r="IK54" s="47"/>
      <c r="IL54" s="47"/>
      <c r="IM54" s="47"/>
      <c r="IN54" s="47"/>
      <c r="IO54" s="47"/>
      <c r="IP54" s="47"/>
      <c r="IQ54" s="47"/>
    </row>
    <row r="55" spans="1:251" ht="30" customHeight="1" x14ac:dyDescent="0.2">
      <c r="B55" s="48" t="s">
        <v>39</v>
      </c>
      <c r="C55" s="49" t="s">
        <v>52</v>
      </c>
      <c r="D55" s="50">
        <v>1</v>
      </c>
      <c r="E55" s="51">
        <f>E54+1</f>
        <v>45946</v>
      </c>
      <c r="F55" s="51">
        <f>E55</f>
        <v>45946</v>
      </c>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E55" s="47"/>
      <c r="HF55" s="47"/>
      <c r="HG55" s="47"/>
      <c r="HH55" s="47"/>
      <c r="HI55" s="47"/>
      <c r="HJ55" s="47"/>
      <c r="HK55" s="47"/>
      <c r="HL55" s="47"/>
      <c r="HM55" s="47"/>
      <c r="HN55" s="47"/>
      <c r="HO55" s="47"/>
      <c r="HP55" s="47"/>
      <c r="HQ55" s="47"/>
      <c r="HR55" s="47"/>
      <c r="HS55" s="47"/>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row>
    <row r="56" spans="1:251" ht="30" customHeight="1" x14ac:dyDescent="0.2">
      <c r="B56" s="48" t="s">
        <v>37</v>
      </c>
      <c r="C56" s="49" t="s">
        <v>60</v>
      </c>
      <c r="D56" s="50">
        <v>1</v>
      </c>
      <c r="E56" s="51">
        <f>E55</f>
        <v>45946</v>
      </c>
      <c r="F56" s="51">
        <f>F55</f>
        <v>45946</v>
      </c>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47"/>
      <c r="ES56" s="47"/>
      <c r="ET56" s="47"/>
      <c r="EU56" s="47"/>
      <c r="EV56" s="47"/>
      <c r="EW56" s="47"/>
      <c r="EX56" s="47"/>
      <c r="EY56" s="47"/>
      <c r="EZ56" s="47"/>
      <c r="FA56" s="47"/>
      <c r="FB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7"/>
      <c r="GR56" s="47"/>
      <c r="GS56" s="47"/>
      <c r="GT56" s="47"/>
      <c r="GU56" s="47"/>
      <c r="GV56" s="47"/>
      <c r="GW56" s="47"/>
      <c r="GX56" s="47"/>
      <c r="GY56" s="47"/>
      <c r="GZ56" s="47"/>
      <c r="HA56" s="47"/>
      <c r="HB56" s="47"/>
      <c r="HC56" s="47"/>
      <c r="HD56" s="47"/>
      <c r="HE56" s="47"/>
      <c r="HF56" s="47"/>
      <c r="HG56" s="47"/>
      <c r="HH56" s="47"/>
      <c r="HI56" s="47"/>
      <c r="HJ56" s="47"/>
      <c r="HK56" s="47"/>
      <c r="HL56" s="47"/>
      <c r="HM56" s="47"/>
      <c r="HN56" s="47"/>
      <c r="HO56" s="47"/>
      <c r="HP56" s="47"/>
      <c r="HQ56" s="47"/>
      <c r="HR56" s="47"/>
      <c r="HS56" s="47"/>
      <c r="HT56" s="47"/>
      <c r="HU56" s="47"/>
      <c r="HV56" s="47"/>
      <c r="HW56" s="47"/>
      <c r="HX56" s="47"/>
      <c r="HY56" s="47"/>
      <c r="HZ56" s="47"/>
      <c r="IA56" s="47"/>
      <c r="IB56" s="47"/>
      <c r="IC56" s="47"/>
      <c r="ID56" s="47"/>
      <c r="IE56" s="47"/>
      <c r="IF56" s="47"/>
      <c r="IG56" s="47"/>
      <c r="IH56" s="47"/>
      <c r="II56" s="47"/>
      <c r="IJ56" s="47"/>
      <c r="IK56" s="47"/>
      <c r="IL56" s="47"/>
      <c r="IM56" s="47"/>
      <c r="IN56" s="47"/>
      <c r="IO56" s="47"/>
      <c r="IP56" s="47"/>
      <c r="IQ56" s="47"/>
    </row>
    <row r="57" spans="1:251" ht="30" customHeight="1" x14ac:dyDescent="0.2">
      <c r="B57" s="48" t="s">
        <v>38</v>
      </c>
      <c r="C57" s="49" t="s">
        <v>60</v>
      </c>
      <c r="D57" s="50">
        <v>1</v>
      </c>
      <c r="E57" s="51">
        <f>E56</f>
        <v>45946</v>
      </c>
      <c r="F57" s="51">
        <f>F56</f>
        <v>45946</v>
      </c>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47"/>
      <c r="EJ57" s="47"/>
      <c r="EK57" s="47"/>
      <c r="EL57" s="47"/>
      <c r="EM57" s="47"/>
      <c r="EN57" s="47"/>
      <c r="EO57" s="47"/>
      <c r="EP57" s="47"/>
      <c r="EQ57" s="47"/>
      <c r="ER57" s="47"/>
      <c r="ES57" s="47"/>
      <c r="ET57" s="47"/>
      <c r="EU57" s="47"/>
      <c r="EV57" s="47"/>
      <c r="EW57" s="47"/>
      <c r="EX57" s="47"/>
      <c r="EY57" s="47"/>
      <c r="EZ57" s="47"/>
      <c r="FA57" s="47"/>
      <c r="FB57" s="47"/>
      <c r="FC57" s="47"/>
      <c r="FD57" s="47"/>
      <c r="FE57" s="47"/>
      <c r="FF57" s="47"/>
      <c r="FG57" s="47"/>
      <c r="FH57" s="47"/>
      <c r="FI57" s="47"/>
      <c r="FJ57" s="47"/>
      <c r="FK57" s="47"/>
      <c r="FL57" s="47"/>
      <c r="FM57" s="47"/>
      <c r="FN57" s="47"/>
      <c r="FO57" s="47"/>
      <c r="FP57" s="47"/>
      <c r="FQ57" s="47"/>
      <c r="FR57" s="47"/>
      <c r="FS57" s="47"/>
      <c r="FT57" s="47"/>
      <c r="FU57" s="47"/>
      <c r="FV57" s="47"/>
      <c r="FW57" s="47"/>
      <c r="FX57" s="47"/>
      <c r="FY57" s="47"/>
      <c r="FZ57" s="47"/>
      <c r="GA57" s="47"/>
      <c r="GB57" s="47"/>
      <c r="GC57" s="47"/>
      <c r="GD57" s="47"/>
      <c r="GE57" s="47"/>
      <c r="GF57" s="47"/>
      <c r="GG57" s="47"/>
      <c r="GH57" s="47"/>
      <c r="GI57" s="47"/>
      <c r="GJ57" s="47"/>
      <c r="GK57" s="47"/>
      <c r="GL57" s="47"/>
      <c r="GM57" s="47"/>
      <c r="GN57" s="47"/>
      <c r="GO57" s="47"/>
      <c r="GP57" s="47"/>
      <c r="GQ57" s="47"/>
      <c r="GR57" s="47"/>
      <c r="GS57" s="47"/>
      <c r="GT57" s="47"/>
      <c r="GU57" s="47"/>
      <c r="GV57" s="47"/>
      <c r="GW57" s="47"/>
      <c r="GX57" s="47"/>
      <c r="GY57" s="47"/>
      <c r="GZ57" s="47"/>
      <c r="HA57" s="47"/>
      <c r="HB57" s="47"/>
      <c r="HC57" s="47"/>
      <c r="HD57" s="47"/>
      <c r="HE57" s="47"/>
      <c r="HF57" s="47"/>
      <c r="HG57" s="47"/>
      <c r="HH57" s="47"/>
      <c r="HI57" s="47"/>
      <c r="HJ57" s="47"/>
      <c r="HK57" s="47"/>
      <c r="HL57" s="47"/>
      <c r="HM57" s="47"/>
      <c r="HN57" s="47"/>
      <c r="HO57" s="47"/>
      <c r="HP57" s="47"/>
      <c r="HQ57" s="47"/>
      <c r="HR57" s="47"/>
      <c r="HS57" s="47"/>
      <c r="HT57" s="47"/>
      <c r="HU57" s="47"/>
      <c r="HV57" s="47"/>
      <c r="HW57" s="47"/>
      <c r="HX57" s="47"/>
      <c r="HY57" s="47"/>
      <c r="HZ57" s="47"/>
      <c r="IA57" s="47"/>
      <c r="IB57" s="47"/>
      <c r="IC57" s="47"/>
      <c r="ID57" s="47"/>
      <c r="IE57" s="47"/>
      <c r="IF57" s="47"/>
      <c r="IG57" s="47"/>
      <c r="IH57" s="47"/>
      <c r="II57" s="47"/>
      <c r="IJ57" s="47"/>
      <c r="IK57" s="47"/>
      <c r="IL57" s="47"/>
      <c r="IM57" s="47"/>
      <c r="IN57" s="47"/>
      <c r="IO57" s="47"/>
      <c r="IP57" s="47"/>
      <c r="IQ57" s="47"/>
    </row>
    <row r="58" spans="1:251" ht="30" customHeight="1" x14ac:dyDescent="0.2">
      <c r="B58" s="53" t="s">
        <v>40</v>
      </c>
      <c r="C58" s="54"/>
      <c r="D58" s="55"/>
      <c r="E58" s="56"/>
      <c r="F58" s="5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47"/>
      <c r="EJ58" s="47"/>
      <c r="EK58" s="47"/>
      <c r="EL58" s="47"/>
      <c r="EM58" s="47"/>
      <c r="EN58" s="47"/>
      <c r="EO58" s="47"/>
      <c r="EP58" s="47"/>
      <c r="EQ58" s="47"/>
      <c r="ER58" s="47"/>
      <c r="ES58" s="47"/>
      <c r="ET58" s="47"/>
      <c r="EU58" s="47"/>
      <c r="EV58" s="47"/>
      <c r="EW58" s="47"/>
      <c r="EX58" s="47"/>
      <c r="EY58" s="47"/>
      <c r="EZ58" s="47"/>
      <c r="FA58" s="47"/>
      <c r="FB58" s="47"/>
      <c r="FC58" s="47"/>
      <c r="FD58" s="47"/>
      <c r="FE58" s="47"/>
      <c r="FF58" s="47"/>
      <c r="FG58" s="47"/>
      <c r="FH58" s="47"/>
      <c r="FI58" s="47"/>
      <c r="FJ58" s="47"/>
      <c r="FK58" s="47"/>
      <c r="FL58" s="47"/>
      <c r="FM58" s="47"/>
      <c r="FN58" s="47"/>
      <c r="FO58" s="47"/>
      <c r="FP58" s="47"/>
      <c r="FQ58" s="47"/>
      <c r="FR58" s="47"/>
      <c r="FS58" s="47"/>
      <c r="FT58" s="47"/>
      <c r="FU58" s="47"/>
      <c r="FV58" s="47"/>
      <c r="FW58" s="47"/>
      <c r="FX58" s="47"/>
      <c r="FY58" s="47"/>
      <c r="FZ58" s="47"/>
      <c r="GA58" s="47"/>
      <c r="GB58" s="47"/>
      <c r="GC58" s="47"/>
      <c r="GD58" s="47"/>
      <c r="GE58" s="47"/>
      <c r="GF58" s="47"/>
      <c r="GG58" s="47"/>
      <c r="GH58" s="47"/>
      <c r="GI58" s="47"/>
      <c r="GJ58" s="47"/>
      <c r="GK58" s="47"/>
      <c r="GL58" s="47"/>
      <c r="GM58" s="47"/>
      <c r="GN58" s="47"/>
      <c r="GO58" s="47"/>
      <c r="GP58" s="47"/>
      <c r="GQ58" s="47"/>
      <c r="GR58" s="47"/>
      <c r="GS58" s="47"/>
      <c r="GT58" s="47"/>
      <c r="GU58" s="47"/>
      <c r="GV58" s="47"/>
      <c r="GW58" s="47"/>
      <c r="GX58" s="47"/>
      <c r="GY58" s="47"/>
      <c r="GZ58" s="47"/>
      <c r="HA58" s="47"/>
      <c r="HB58" s="47"/>
      <c r="HC58" s="47"/>
      <c r="HD58" s="47"/>
      <c r="HE58" s="47"/>
      <c r="HF58" s="47"/>
      <c r="HG58" s="47"/>
      <c r="HH58" s="47"/>
      <c r="HI58" s="47"/>
      <c r="HJ58" s="47"/>
      <c r="HK58" s="47"/>
      <c r="HL58" s="47"/>
      <c r="HM58" s="47"/>
      <c r="HN58" s="47"/>
      <c r="HO58" s="47"/>
      <c r="HP58" s="47"/>
      <c r="HQ58" s="47"/>
      <c r="HR58" s="47"/>
      <c r="HS58" s="47"/>
      <c r="HT58" s="47"/>
      <c r="HU58" s="47"/>
      <c r="HV58" s="47"/>
      <c r="HW58" s="47"/>
      <c r="HX58" s="47"/>
      <c r="HY58" s="47"/>
      <c r="HZ58" s="47"/>
      <c r="IA58" s="47"/>
      <c r="IB58" s="47"/>
      <c r="IC58" s="47"/>
      <c r="ID58" s="47"/>
      <c r="IE58" s="47"/>
      <c r="IF58" s="47"/>
      <c r="IG58" s="47"/>
      <c r="IH58" s="47"/>
      <c r="II58" s="47"/>
      <c r="IJ58" s="47"/>
      <c r="IK58" s="47"/>
      <c r="IL58" s="47"/>
      <c r="IM58" s="47"/>
      <c r="IN58" s="47"/>
      <c r="IO58" s="47"/>
      <c r="IP58" s="47"/>
      <c r="IQ58" s="47"/>
    </row>
    <row r="59" spans="1:251" ht="30" customHeight="1" x14ac:dyDescent="0.2">
      <c r="B59" s="58" t="s">
        <v>41</v>
      </c>
      <c r="C59" s="59" t="s">
        <v>52</v>
      </c>
      <c r="D59" s="50">
        <v>1</v>
      </c>
      <c r="E59" s="60">
        <f>E83</f>
        <v>45912</v>
      </c>
      <c r="F59" s="60">
        <f>E59+10</f>
        <v>45922</v>
      </c>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47"/>
      <c r="EO59" s="47"/>
      <c r="EP59" s="47"/>
      <c r="EQ59" s="47"/>
      <c r="ER59" s="47"/>
      <c r="ES59" s="47"/>
      <c r="ET59" s="47"/>
      <c r="EU59" s="47"/>
      <c r="EV59" s="47"/>
      <c r="EW59" s="47"/>
      <c r="EX59" s="47"/>
      <c r="EY59" s="47"/>
      <c r="EZ59" s="47"/>
      <c r="FA59" s="47"/>
      <c r="FB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E59" s="47"/>
      <c r="HF59" s="47"/>
      <c r="HG59" s="47"/>
      <c r="HH59" s="47"/>
      <c r="HI59" s="47"/>
      <c r="HJ59" s="47"/>
      <c r="HK59" s="47"/>
      <c r="HL59" s="47"/>
      <c r="HM59" s="47"/>
      <c r="HN59" s="47"/>
      <c r="HO59" s="47"/>
      <c r="HP59" s="47"/>
      <c r="HQ59" s="47"/>
      <c r="HR59" s="47"/>
      <c r="HS59" s="47"/>
      <c r="HT59" s="47"/>
      <c r="HU59" s="47"/>
      <c r="HV59" s="47"/>
      <c r="HW59" s="47"/>
      <c r="HX59" s="47"/>
      <c r="HY59" s="47"/>
      <c r="HZ59" s="47"/>
      <c r="IA59" s="47"/>
      <c r="IB59" s="47"/>
      <c r="IC59" s="47"/>
      <c r="ID59" s="47"/>
      <c r="IE59" s="47"/>
      <c r="IF59" s="47"/>
      <c r="IG59" s="47"/>
      <c r="IH59" s="47"/>
      <c r="II59" s="47"/>
      <c r="IJ59" s="47"/>
      <c r="IK59" s="47"/>
      <c r="IL59" s="47"/>
      <c r="IM59" s="47"/>
      <c r="IN59" s="47"/>
      <c r="IO59" s="47"/>
      <c r="IP59" s="47"/>
      <c r="IQ59" s="47"/>
    </row>
    <row r="60" spans="1:251" ht="30" customHeight="1" x14ac:dyDescent="0.2">
      <c r="B60" s="58" t="s">
        <v>42</v>
      </c>
      <c r="C60" s="59" t="s">
        <v>52</v>
      </c>
      <c r="D60" s="50">
        <v>1</v>
      </c>
      <c r="E60" s="60">
        <f>E84-3</f>
        <v>45924</v>
      </c>
      <c r="F60" s="60">
        <f>E60+2</f>
        <v>45926</v>
      </c>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row>
    <row r="61" spans="1:251" ht="30" customHeight="1" x14ac:dyDescent="0.2">
      <c r="B61" s="58" t="s">
        <v>62</v>
      </c>
      <c r="C61" s="59" t="s">
        <v>52</v>
      </c>
      <c r="D61" s="50">
        <v>1</v>
      </c>
      <c r="E61" s="60">
        <f>E83</f>
        <v>45912</v>
      </c>
      <c r="F61" s="60">
        <f>E61+3</f>
        <v>45915</v>
      </c>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47"/>
      <c r="EO61" s="47"/>
      <c r="EP61" s="47"/>
      <c r="EQ61" s="47"/>
      <c r="ER61" s="47"/>
      <c r="ES61" s="47"/>
      <c r="ET61" s="47"/>
      <c r="EU61" s="47"/>
      <c r="EV61" s="47"/>
      <c r="EW61" s="47"/>
      <c r="EX61" s="47"/>
      <c r="EY61" s="47"/>
      <c r="EZ61" s="47"/>
      <c r="FA61" s="47"/>
      <c r="FB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E61" s="47"/>
      <c r="HF61" s="47"/>
      <c r="HG61" s="47"/>
      <c r="HH61" s="47"/>
      <c r="HI61" s="47"/>
      <c r="HJ61" s="47"/>
      <c r="HK61" s="47"/>
      <c r="HL61" s="47"/>
      <c r="HM61" s="47"/>
      <c r="HN61" s="47"/>
      <c r="HO61" s="47"/>
      <c r="HP61" s="47"/>
      <c r="HQ61" s="47"/>
      <c r="HR61" s="47"/>
      <c r="HS61" s="47"/>
      <c r="HT61" s="47"/>
      <c r="HU61" s="47"/>
      <c r="HV61" s="47"/>
      <c r="HW61" s="47"/>
      <c r="HX61" s="47"/>
      <c r="HY61" s="47"/>
      <c r="HZ61" s="47"/>
      <c r="IA61" s="47"/>
      <c r="IB61" s="47"/>
      <c r="IC61" s="47"/>
      <c r="ID61" s="47"/>
      <c r="IE61" s="47"/>
      <c r="IF61" s="47"/>
      <c r="IG61" s="47"/>
      <c r="IH61" s="47"/>
      <c r="II61" s="47"/>
      <c r="IJ61" s="47"/>
      <c r="IK61" s="47"/>
      <c r="IL61" s="47"/>
      <c r="IM61" s="47"/>
      <c r="IN61" s="47"/>
      <c r="IO61" s="47"/>
      <c r="IP61" s="47"/>
      <c r="IQ61" s="47"/>
    </row>
    <row r="62" spans="1:251" ht="30" customHeight="1" x14ac:dyDescent="0.2">
      <c r="B62" s="58" t="s">
        <v>63</v>
      </c>
      <c r="C62" s="59" t="s">
        <v>52</v>
      </c>
      <c r="D62" s="50">
        <v>1</v>
      </c>
      <c r="E62" s="60">
        <f>F61</f>
        <v>45915</v>
      </c>
      <c r="F62" s="60">
        <f>E62+8</f>
        <v>45923</v>
      </c>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47"/>
      <c r="EJ62" s="47"/>
      <c r="EK62" s="47"/>
      <c r="EL62" s="47"/>
      <c r="EM62" s="47"/>
      <c r="EN62" s="47"/>
      <c r="EO62" s="47"/>
      <c r="EP62" s="47"/>
      <c r="EQ62" s="47"/>
      <c r="ER62" s="47"/>
      <c r="ES62" s="47"/>
      <c r="ET62" s="47"/>
      <c r="EU62" s="47"/>
      <c r="EV62" s="47"/>
      <c r="EW62" s="47"/>
      <c r="EX62" s="47"/>
      <c r="EY62" s="47"/>
      <c r="EZ62" s="47"/>
      <c r="FA62" s="47"/>
      <c r="FB62" s="47"/>
      <c r="FC62" s="47"/>
      <c r="FD62" s="47"/>
      <c r="FE62" s="47"/>
      <c r="FF62" s="47"/>
      <c r="FG62" s="47"/>
      <c r="FH62" s="47"/>
      <c r="FI62" s="47"/>
      <c r="FJ62" s="47"/>
      <c r="FK62" s="47"/>
      <c r="FL62" s="47"/>
      <c r="FM62" s="47"/>
      <c r="FN62" s="47"/>
      <c r="FO62" s="47"/>
      <c r="FP62" s="47"/>
      <c r="FQ62" s="47"/>
      <c r="FR62" s="47"/>
      <c r="FS62" s="47"/>
      <c r="FT62" s="47"/>
      <c r="FU62" s="47"/>
      <c r="FV62" s="47"/>
      <c r="FW62" s="47"/>
      <c r="FX62" s="47"/>
      <c r="FY62" s="47"/>
      <c r="FZ62" s="47"/>
      <c r="GA62" s="47"/>
      <c r="GB62" s="47"/>
      <c r="GC62" s="47"/>
      <c r="GD62" s="47"/>
      <c r="GE62" s="47"/>
      <c r="GF62" s="47"/>
      <c r="GG62" s="47"/>
      <c r="GH62" s="47"/>
      <c r="GI62" s="47"/>
      <c r="GJ62" s="47"/>
      <c r="GK62" s="47"/>
      <c r="GL62" s="47"/>
      <c r="GM62" s="47"/>
      <c r="GN62" s="47"/>
      <c r="GO62" s="47"/>
      <c r="GP62" s="47"/>
      <c r="GQ62" s="47"/>
      <c r="GR62" s="47"/>
      <c r="GS62" s="47"/>
      <c r="GT62" s="47"/>
      <c r="GU62" s="47"/>
      <c r="GV62" s="47"/>
      <c r="GW62" s="47"/>
      <c r="GX62" s="47"/>
      <c r="GY62" s="47"/>
      <c r="GZ62" s="47"/>
      <c r="HA62" s="47"/>
      <c r="HB62" s="47"/>
      <c r="HC62" s="47"/>
      <c r="HD62" s="47"/>
      <c r="HE62" s="47"/>
      <c r="HF62" s="47"/>
      <c r="HG62" s="47"/>
      <c r="HH62" s="47"/>
      <c r="HI62" s="47"/>
      <c r="HJ62" s="47"/>
      <c r="HK62" s="47"/>
      <c r="HL62" s="47"/>
      <c r="HM62" s="47"/>
      <c r="HN62" s="47"/>
      <c r="HO62" s="47"/>
      <c r="HP62" s="47"/>
      <c r="HQ62" s="47"/>
      <c r="HR62" s="47"/>
      <c r="HS62" s="47"/>
      <c r="HT62" s="47"/>
      <c r="HU62" s="47"/>
      <c r="HV62" s="47"/>
      <c r="HW62" s="47"/>
      <c r="HX62" s="47"/>
      <c r="HY62" s="47"/>
      <c r="HZ62" s="47"/>
      <c r="IA62" s="47"/>
      <c r="IB62" s="47"/>
      <c r="IC62" s="47"/>
      <c r="ID62" s="47"/>
      <c r="IE62" s="47"/>
      <c r="IF62" s="47"/>
      <c r="IG62" s="47"/>
      <c r="IH62" s="47"/>
      <c r="II62" s="47"/>
      <c r="IJ62" s="47"/>
      <c r="IK62" s="47"/>
      <c r="IL62" s="47"/>
      <c r="IM62" s="47"/>
      <c r="IN62" s="47"/>
      <c r="IO62" s="47"/>
      <c r="IP62" s="47"/>
      <c r="IQ62" s="47"/>
    </row>
    <row r="63" spans="1:251" ht="30" customHeight="1" x14ac:dyDescent="0.2">
      <c r="B63" s="58" t="s">
        <v>44</v>
      </c>
      <c r="C63" s="59" t="s">
        <v>52</v>
      </c>
      <c r="D63" s="50">
        <v>1</v>
      </c>
      <c r="E63" s="60">
        <f>F60+2</f>
        <v>45928</v>
      </c>
      <c r="F63" s="60">
        <f>E63+1</f>
        <v>45929</v>
      </c>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47"/>
      <c r="EO63" s="47"/>
      <c r="EP63" s="47"/>
      <c r="EQ63" s="47"/>
      <c r="ER63" s="47"/>
      <c r="ES63" s="47"/>
      <c r="ET63" s="47"/>
      <c r="EU63" s="47"/>
      <c r="EV63" s="47"/>
      <c r="EW63" s="47"/>
      <c r="EX63" s="47"/>
      <c r="EY63" s="47"/>
      <c r="EZ63" s="47"/>
      <c r="FA63" s="47"/>
      <c r="FB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c r="GU63" s="47"/>
      <c r="GV63" s="47"/>
      <c r="GW63" s="47"/>
      <c r="GX63" s="47"/>
      <c r="GY63" s="47"/>
      <c r="GZ63" s="47"/>
      <c r="HA63" s="47"/>
      <c r="HB63" s="47"/>
      <c r="HC63" s="47"/>
      <c r="HD63" s="47"/>
      <c r="HE63" s="47"/>
      <c r="HF63" s="47"/>
      <c r="HG63" s="47"/>
      <c r="HH63" s="47"/>
      <c r="HI63" s="47"/>
      <c r="HJ63" s="47"/>
      <c r="HK63" s="47"/>
      <c r="HL63" s="47"/>
      <c r="HM63" s="47"/>
      <c r="HN63" s="47"/>
      <c r="HO63" s="47"/>
      <c r="HP63" s="47"/>
      <c r="HQ63" s="47"/>
      <c r="HR63" s="47"/>
      <c r="HS63" s="47"/>
      <c r="HT63" s="47"/>
      <c r="HU63" s="47"/>
      <c r="HV63" s="47"/>
      <c r="HW63" s="47"/>
      <c r="HX63" s="47"/>
      <c r="HY63" s="47"/>
      <c r="HZ63" s="47"/>
      <c r="IA63" s="47"/>
      <c r="IB63" s="47"/>
      <c r="IC63" s="47"/>
      <c r="ID63" s="47"/>
      <c r="IE63" s="47"/>
      <c r="IF63" s="47"/>
      <c r="IG63" s="47"/>
      <c r="IH63" s="47"/>
      <c r="II63" s="47"/>
      <c r="IJ63" s="47"/>
      <c r="IK63" s="47"/>
      <c r="IL63" s="47"/>
      <c r="IM63" s="47"/>
      <c r="IN63" s="47"/>
      <c r="IO63" s="47"/>
      <c r="IP63" s="47"/>
      <c r="IQ63" s="47"/>
    </row>
    <row r="64" spans="1:251" ht="30" customHeight="1" x14ac:dyDescent="0.2">
      <c r="B64" s="58" t="s">
        <v>61</v>
      </c>
      <c r="C64" s="59" t="s">
        <v>57</v>
      </c>
      <c r="D64" s="50">
        <v>1</v>
      </c>
      <c r="E64" s="60">
        <f>F63</f>
        <v>45929</v>
      </c>
      <c r="F64" s="60">
        <f>E64</f>
        <v>45929</v>
      </c>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47"/>
      <c r="EO64" s="47"/>
      <c r="EP64" s="47"/>
      <c r="EQ64" s="47"/>
      <c r="ER64" s="47"/>
      <c r="ES64" s="47"/>
      <c r="ET64" s="47"/>
      <c r="EU64" s="47"/>
      <c r="EV64" s="47"/>
      <c r="EW64" s="47"/>
      <c r="EX64" s="47"/>
      <c r="EY64" s="47"/>
      <c r="EZ64" s="47"/>
      <c r="FA64" s="47"/>
      <c r="FB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c r="GU64" s="47"/>
      <c r="GV64" s="47"/>
      <c r="GW64" s="47"/>
      <c r="GX64" s="47"/>
      <c r="GY64" s="47"/>
      <c r="GZ64" s="47"/>
      <c r="HA64" s="47"/>
      <c r="HB64" s="47"/>
      <c r="HC64" s="47"/>
      <c r="HD64" s="47"/>
      <c r="HE64" s="47"/>
      <c r="HF64" s="47"/>
      <c r="HG64" s="47"/>
      <c r="HH64" s="47"/>
      <c r="HI64" s="47"/>
      <c r="HJ64" s="47"/>
      <c r="HK64" s="47"/>
      <c r="HL64" s="47"/>
      <c r="HM64" s="47"/>
      <c r="HN64" s="47"/>
      <c r="HO64" s="47"/>
      <c r="HP64" s="47"/>
      <c r="HQ64" s="47"/>
      <c r="HR64" s="47"/>
      <c r="HS64" s="47"/>
      <c r="HT64" s="47"/>
      <c r="HU64" s="47"/>
      <c r="HV64" s="47"/>
      <c r="HW64" s="47"/>
      <c r="HX64" s="47"/>
      <c r="HY64" s="47"/>
      <c r="HZ64" s="47"/>
      <c r="IA64" s="47"/>
      <c r="IB64" s="47"/>
      <c r="IC64" s="47"/>
      <c r="ID64" s="47"/>
      <c r="IE64" s="47"/>
      <c r="IF64" s="47"/>
      <c r="IG64" s="47"/>
      <c r="IH64" s="47"/>
      <c r="II64" s="47"/>
      <c r="IJ64" s="47"/>
      <c r="IK64" s="47"/>
      <c r="IL64" s="47"/>
      <c r="IM64" s="47"/>
      <c r="IN64" s="47"/>
      <c r="IO64" s="47"/>
      <c r="IP64" s="47"/>
      <c r="IQ64" s="47"/>
    </row>
    <row r="65" spans="2:251" ht="30" customHeight="1" x14ac:dyDescent="0.2">
      <c r="B65" s="58" t="s">
        <v>43</v>
      </c>
      <c r="C65" s="59" t="s">
        <v>52</v>
      </c>
      <c r="D65" s="50">
        <v>1</v>
      </c>
      <c r="E65" s="60">
        <f>F64+2</f>
        <v>45931</v>
      </c>
      <c r="F65" s="60">
        <f>E65</f>
        <v>45931</v>
      </c>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row>
    <row r="66" spans="2:251" ht="30" customHeight="1" x14ac:dyDescent="0.2">
      <c r="B66" s="58" t="s">
        <v>45</v>
      </c>
      <c r="C66" s="59" t="s">
        <v>52</v>
      </c>
      <c r="D66" s="50">
        <v>1</v>
      </c>
      <c r="E66" s="60">
        <f>F65</f>
        <v>45931</v>
      </c>
      <c r="F66" s="60">
        <f>E66+2</f>
        <v>45933</v>
      </c>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47"/>
      <c r="EJ66" s="47"/>
      <c r="EK66" s="47"/>
      <c r="EL66" s="47"/>
      <c r="EM66" s="47"/>
      <c r="EN66" s="47"/>
      <c r="EO66" s="47"/>
      <c r="EP66" s="47"/>
      <c r="EQ66" s="47"/>
      <c r="ER66" s="47"/>
      <c r="ES66" s="47"/>
      <c r="ET66" s="47"/>
      <c r="EU66" s="47"/>
      <c r="EV66" s="47"/>
      <c r="EW66" s="47"/>
      <c r="EX66" s="47"/>
      <c r="EY66" s="47"/>
      <c r="EZ66" s="47"/>
      <c r="FA66" s="47"/>
      <c r="FB66" s="47"/>
      <c r="FC66" s="47"/>
      <c r="FD66" s="47"/>
      <c r="FE66" s="47"/>
      <c r="FF66" s="47"/>
      <c r="FG66" s="47"/>
      <c r="FH66" s="47"/>
      <c r="FI66" s="47"/>
      <c r="FJ66" s="47"/>
      <c r="FK66" s="47"/>
      <c r="FL66" s="47"/>
      <c r="FM66" s="47"/>
      <c r="FN66" s="47"/>
      <c r="FO66" s="47"/>
      <c r="FP66" s="47"/>
      <c r="FQ66" s="47"/>
      <c r="FR66" s="47"/>
      <c r="FS66" s="47"/>
      <c r="FT66" s="47"/>
      <c r="FU66" s="47"/>
      <c r="FV66" s="47"/>
      <c r="FW66" s="47"/>
      <c r="FX66" s="47"/>
      <c r="FY66" s="47"/>
      <c r="FZ66" s="47"/>
      <c r="GA66" s="47"/>
      <c r="GB66" s="47"/>
      <c r="GC66" s="47"/>
      <c r="GD66" s="47"/>
      <c r="GE66" s="47"/>
      <c r="GF66" s="47"/>
      <c r="GG66" s="47"/>
      <c r="GH66" s="47"/>
      <c r="GI66" s="47"/>
      <c r="GJ66" s="47"/>
      <c r="GK66" s="47"/>
      <c r="GL66" s="47"/>
      <c r="GM66" s="47"/>
      <c r="GN66" s="47"/>
      <c r="GO66" s="47"/>
      <c r="GP66" s="47"/>
      <c r="GQ66" s="47"/>
      <c r="GR66" s="47"/>
      <c r="GS66" s="47"/>
      <c r="GT66" s="47"/>
      <c r="GU66" s="47"/>
      <c r="GV66" s="47"/>
      <c r="GW66" s="47"/>
      <c r="GX66" s="47"/>
      <c r="GY66" s="47"/>
      <c r="GZ66" s="47"/>
      <c r="HA66" s="47"/>
      <c r="HB66" s="47"/>
      <c r="HC66" s="47"/>
      <c r="HD66" s="47"/>
      <c r="HE66" s="47"/>
      <c r="HF66" s="47"/>
      <c r="HG66" s="47"/>
      <c r="HH66" s="47"/>
      <c r="HI66" s="47"/>
      <c r="HJ66" s="47"/>
      <c r="HK66" s="47"/>
      <c r="HL66" s="47"/>
      <c r="HM66" s="47"/>
      <c r="HN66" s="47"/>
      <c r="HO66" s="47"/>
      <c r="HP66" s="47"/>
      <c r="HQ66" s="47"/>
      <c r="HR66" s="47"/>
      <c r="HS66" s="47"/>
      <c r="HT66" s="47"/>
      <c r="HU66" s="47"/>
      <c r="HV66" s="47"/>
      <c r="HW66" s="47"/>
      <c r="HX66" s="47"/>
      <c r="HY66" s="47"/>
      <c r="HZ66" s="47"/>
      <c r="IA66" s="47"/>
      <c r="IB66" s="47"/>
      <c r="IC66" s="47"/>
      <c r="ID66" s="47"/>
      <c r="IE66" s="47"/>
      <c r="IF66" s="47"/>
      <c r="IG66" s="47"/>
      <c r="IH66" s="47"/>
      <c r="II66" s="47"/>
      <c r="IJ66" s="47"/>
      <c r="IK66" s="47"/>
      <c r="IL66" s="47"/>
      <c r="IM66" s="47"/>
      <c r="IN66" s="47"/>
      <c r="IO66" s="47"/>
      <c r="IP66" s="47"/>
      <c r="IQ66" s="47"/>
    </row>
    <row r="67" spans="2:251" ht="30" customHeight="1" x14ac:dyDescent="0.2">
      <c r="B67" s="58" t="s">
        <v>46</v>
      </c>
      <c r="C67" s="59" t="s">
        <v>52</v>
      </c>
      <c r="D67" s="50">
        <v>1</v>
      </c>
      <c r="E67" s="60">
        <f>F66</f>
        <v>45933</v>
      </c>
      <c r="F67" s="60">
        <f>E67+2</f>
        <v>45935</v>
      </c>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E67" s="47"/>
      <c r="HF67" s="47"/>
      <c r="HG67" s="47"/>
      <c r="HH67" s="47"/>
      <c r="HI67" s="47"/>
      <c r="HJ67" s="47"/>
      <c r="HK67" s="47"/>
      <c r="HL67" s="47"/>
      <c r="HM67" s="47"/>
      <c r="HN67" s="47"/>
      <c r="HO67" s="47"/>
      <c r="HP67" s="47"/>
      <c r="HQ67" s="47"/>
      <c r="HR67" s="47"/>
      <c r="HS67" s="47"/>
      <c r="HT67" s="47"/>
      <c r="HU67" s="47"/>
      <c r="HV67" s="47"/>
      <c r="HW67" s="47"/>
      <c r="HX67" s="47"/>
      <c r="HY67" s="47"/>
      <c r="HZ67" s="47"/>
      <c r="IA67" s="47"/>
      <c r="IB67" s="47"/>
      <c r="IC67" s="47"/>
      <c r="ID67" s="47"/>
      <c r="IE67" s="47"/>
      <c r="IF67" s="47"/>
      <c r="IG67" s="47"/>
      <c r="IH67" s="47"/>
      <c r="II67" s="47"/>
      <c r="IJ67" s="47"/>
      <c r="IK67" s="47"/>
      <c r="IL67" s="47"/>
      <c r="IM67" s="47"/>
      <c r="IN67" s="47"/>
      <c r="IO67" s="47"/>
      <c r="IP67" s="47"/>
      <c r="IQ67" s="47"/>
    </row>
    <row r="68" spans="2:251" ht="30" customHeight="1" x14ac:dyDescent="0.2">
      <c r="B68" s="58" t="s">
        <v>47</v>
      </c>
      <c r="C68" s="59" t="s">
        <v>52</v>
      </c>
      <c r="D68" s="50">
        <v>1</v>
      </c>
      <c r="E68" s="60">
        <f>F66</f>
        <v>45933</v>
      </c>
      <c r="F68" s="60">
        <f>E68+7</f>
        <v>45940</v>
      </c>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c r="GU68" s="47"/>
      <c r="GV68" s="47"/>
      <c r="GW68" s="47"/>
      <c r="GX68" s="47"/>
      <c r="GY68" s="47"/>
      <c r="GZ68" s="47"/>
      <c r="HA68" s="47"/>
      <c r="HB68" s="47"/>
      <c r="HC68" s="47"/>
      <c r="HD68" s="47"/>
      <c r="HE68" s="47"/>
      <c r="HF68" s="47"/>
      <c r="HG68" s="47"/>
      <c r="HH68" s="47"/>
      <c r="HI68" s="47"/>
      <c r="HJ68" s="47"/>
      <c r="HK68" s="47"/>
      <c r="HL68" s="47"/>
      <c r="HM68" s="47"/>
      <c r="HN68" s="47"/>
      <c r="HO68" s="47"/>
      <c r="HP68" s="47"/>
      <c r="HQ68" s="47"/>
      <c r="HR68" s="47"/>
      <c r="HS68" s="47"/>
      <c r="HT68" s="47"/>
      <c r="HU68" s="47"/>
      <c r="HV68" s="47"/>
      <c r="HW68" s="47"/>
      <c r="HX68" s="47"/>
      <c r="HY68" s="47"/>
      <c r="HZ68" s="47"/>
      <c r="IA68" s="47"/>
      <c r="IB68" s="47"/>
      <c r="IC68" s="47"/>
      <c r="ID68" s="47"/>
      <c r="IE68" s="47"/>
      <c r="IF68" s="47"/>
      <c r="IG68" s="47"/>
      <c r="IH68" s="47"/>
      <c r="II68" s="47"/>
      <c r="IJ68" s="47"/>
      <c r="IK68" s="47"/>
      <c r="IL68" s="47"/>
      <c r="IM68" s="47"/>
      <c r="IN68" s="47"/>
      <c r="IO68" s="47"/>
      <c r="IP68" s="47"/>
      <c r="IQ68" s="47"/>
    </row>
    <row r="69" spans="2:251" ht="30" customHeight="1" x14ac:dyDescent="0.2">
      <c r="B69" s="58" t="s">
        <v>48</v>
      </c>
      <c r="C69" s="59" t="s">
        <v>52</v>
      </c>
      <c r="D69" s="50">
        <v>1</v>
      </c>
      <c r="E69" s="60">
        <f>E68+3</f>
        <v>45936</v>
      </c>
      <c r="F69" s="60">
        <f>F68</f>
        <v>45940</v>
      </c>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47"/>
      <c r="EO69" s="47"/>
      <c r="EP69" s="47"/>
      <c r="EQ69" s="47"/>
      <c r="ER69" s="47"/>
      <c r="ES69" s="47"/>
      <c r="ET69" s="47"/>
      <c r="EU69" s="47"/>
      <c r="EV69" s="47"/>
      <c r="EW69" s="47"/>
      <c r="EX69" s="47"/>
      <c r="EY69" s="47"/>
      <c r="EZ69" s="47"/>
      <c r="FA69" s="47"/>
      <c r="FB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c r="GU69" s="47"/>
      <c r="GV69" s="47"/>
      <c r="GW69" s="47"/>
      <c r="GX69" s="47"/>
      <c r="GY69" s="47"/>
      <c r="GZ69" s="47"/>
      <c r="HA69" s="47"/>
      <c r="HB69" s="47"/>
      <c r="HC69" s="47"/>
      <c r="HD69" s="47"/>
      <c r="HE69" s="47"/>
      <c r="HF69" s="47"/>
      <c r="HG69" s="47"/>
      <c r="HH69" s="47"/>
      <c r="HI69" s="47"/>
      <c r="HJ69" s="47"/>
      <c r="HK69" s="47"/>
      <c r="HL69" s="47"/>
      <c r="HM69" s="47"/>
      <c r="HN69" s="47"/>
      <c r="HO69" s="47"/>
      <c r="HP69" s="47"/>
      <c r="HQ69" s="47"/>
      <c r="HR69" s="47"/>
      <c r="HS69" s="47"/>
      <c r="HT69" s="47"/>
      <c r="HU69" s="47"/>
      <c r="HV69" s="47"/>
      <c r="HW69" s="47"/>
      <c r="HX69" s="47"/>
      <c r="HY69" s="47"/>
      <c r="HZ69" s="47"/>
      <c r="IA69" s="47"/>
      <c r="IB69" s="47"/>
      <c r="IC69" s="47"/>
      <c r="ID69" s="47"/>
      <c r="IE69" s="47"/>
      <c r="IF69" s="47"/>
      <c r="IG69" s="47"/>
      <c r="IH69" s="47"/>
      <c r="II69" s="47"/>
      <c r="IJ69" s="47"/>
      <c r="IK69" s="47"/>
      <c r="IL69" s="47"/>
      <c r="IM69" s="47"/>
      <c r="IN69" s="47"/>
      <c r="IO69" s="47"/>
      <c r="IP69" s="47"/>
      <c r="IQ69" s="47"/>
    </row>
    <row r="70" spans="2:251" ht="30" customHeight="1" x14ac:dyDescent="0.2">
      <c r="B70" s="58" t="s">
        <v>50</v>
      </c>
      <c r="C70" s="59" t="s">
        <v>52</v>
      </c>
      <c r="D70" s="50">
        <v>1</v>
      </c>
      <c r="E70" s="60">
        <f>F68-2</f>
        <v>45938</v>
      </c>
      <c r="F70" s="60">
        <f>E70+4</f>
        <v>45942</v>
      </c>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7"/>
      <c r="GR70" s="47"/>
      <c r="GS70" s="47"/>
      <c r="GT70" s="47"/>
      <c r="GU70" s="47"/>
      <c r="GV70" s="47"/>
      <c r="GW70" s="47"/>
      <c r="GX70" s="47"/>
      <c r="GY70" s="47"/>
      <c r="GZ70" s="47"/>
      <c r="HA70" s="47"/>
      <c r="HB70" s="47"/>
      <c r="HC70" s="47"/>
      <c r="HD70" s="47"/>
      <c r="HE70" s="47"/>
      <c r="HF70" s="47"/>
      <c r="HG70" s="47"/>
      <c r="HH70" s="47"/>
      <c r="HI70" s="47"/>
      <c r="HJ70" s="47"/>
      <c r="HK70" s="47"/>
      <c r="HL70" s="47"/>
      <c r="HM70" s="47"/>
      <c r="HN70" s="47"/>
      <c r="HO70" s="47"/>
      <c r="HP70" s="47"/>
      <c r="HQ70" s="47"/>
      <c r="HR70" s="47"/>
      <c r="HS70" s="47"/>
      <c r="HT70" s="47"/>
      <c r="HU70" s="47"/>
      <c r="HV70" s="47"/>
      <c r="HW70" s="47"/>
      <c r="HX70" s="47"/>
      <c r="HY70" s="47"/>
      <c r="HZ70" s="47"/>
      <c r="IA70" s="47"/>
      <c r="IB70" s="47"/>
      <c r="IC70" s="47"/>
      <c r="ID70" s="47"/>
      <c r="IE70" s="47"/>
      <c r="IF70" s="47"/>
      <c r="IG70" s="47"/>
      <c r="IH70" s="47"/>
      <c r="II70" s="47"/>
      <c r="IJ70" s="47"/>
      <c r="IK70" s="47"/>
      <c r="IL70" s="47"/>
      <c r="IM70" s="47"/>
      <c r="IN70" s="47"/>
      <c r="IO70" s="47"/>
      <c r="IP70" s="47"/>
      <c r="IQ70" s="47"/>
    </row>
    <row r="71" spans="2:251" ht="30" customHeight="1" x14ac:dyDescent="0.2">
      <c r="B71" s="58" t="s">
        <v>49</v>
      </c>
      <c r="C71" s="59" t="s">
        <v>52</v>
      </c>
      <c r="D71" s="50">
        <v>1</v>
      </c>
      <c r="E71" s="60">
        <f>E70+1</f>
        <v>45939</v>
      </c>
      <c r="F71" s="60">
        <f>F70</f>
        <v>45942</v>
      </c>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7"/>
      <c r="GR71" s="47"/>
      <c r="GS71" s="47"/>
      <c r="GT71" s="47"/>
      <c r="GU71" s="47"/>
      <c r="GV71" s="47"/>
      <c r="GW71" s="47"/>
      <c r="GX71" s="47"/>
      <c r="GY71" s="47"/>
      <c r="GZ71" s="47"/>
      <c r="HA71" s="47"/>
      <c r="HB71" s="47"/>
      <c r="HC71" s="47"/>
      <c r="HD71" s="47"/>
      <c r="HE71" s="47"/>
      <c r="HF71" s="47"/>
      <c r="HG71" s="47"/>
      <c r="HH71" s="47"/>
      <c r="HI71" s="47"/>
      <c r="HJ71" s="47"/>
      <c r="HK71" s="47"/>
      <c r="HL71" s="47"/>
      <c r="HM71" s="47"/>
      <c r="HN71" s="47"/>
      <c r="HO71" s="47"/>
      <c r="HP71" s="47"/>
      <c r="HQ71" s="47"/>
      <c r="HR71" s="47"/>
      <c r="HS71" s="47"/>
      <c r="HT71" s="47"/>
      <c r="HU71" s="47"/>
      <c r="HV71" s="47"/>
      <c r="HW71" s="47"/>
      <c r="HX71" s="47"/>
      <c r="HY71" s="47"/>
      <c r="HZ71" s="47"/>
      <c r="IA71" s="47"/>
      <c r="IB71" s="47"/>
      <c r="IC71" s="47"/>
      <c r="ID71" s="47"/>
      <c r="IE71" s="47"/>
      <c r="IF71" s="47"/>
      <c r="IG71" s="47"/>
      <c r="IH71" s="47"/>
      <c r="II71" s="47"/>
      <c r="IJ71" s="47"/>
      <c r="IK71" s="47"/>
      <c r="IL71" s="47"/>
      <c r="IM71" s="47"/>
      <c r="IN71" s="47"/>
      <c r="IO71" s="47"/>
      <c r="IP71" s="47"/>
      <c r="IQ71" s="47"/>
    </row>
    <row r="72" spans="2:251" ht="30" customHeight="1" x14ac:dyDescent="0.2">
      <c r="B72" s="58" t="s">
        <v>64</v>
      </c>
      <c r="C72" s="59" t="s">
        <v>52</v>
      </c>
      <c r="D72" s="50">
        <v>1</v>
      </c>
      <c r="E72" s="60">
        <f>E83</f>
        <v>45912</v>
      </c>
      <c r="F72" s="60">
        <f>E72+7</f>
        <v>45919</v>
      </c>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E72" s="47"/>
      <c r="HF72" s="47"/>
      <c r="HG72" s="47"/>
      <c r="HH72" s="47"/>
      <c r="HI72" s="47"/>
      <c r="HJ72" s="47"/>
      <c r="HK72" s="47"/>
      <c r="HL72" s="47"/>
      <c r="HM72" s="47"/>
      <c r="HN72" s="47"/>
      <c r="HO72" s="47"/>
      <c r="HP72" s="47"/>
      <c r="HQ72" s="47"/>
      <c r="HR72" s="47"/>
      <c r="HS72" s="47"/>
      <c r="HT72" s="47"/>
      <c r="HU72" s="47"/>
      <c r="HV72" s="47"/>
      <c r="HW72" s="47"/>
      <c r="HX72" s="47"/>
      <c r="HY72" s="47"/>
      <c r="HZ72" s="47"/>
      <c r="IA72" s="47"/>
      <c r="IB72" s="47"/>
      <c r="IC72" s="47"/>
      <c r="ID72" s="47"/>
      <c r="IE72" s="47"/>
      <c r="IF72" s="47"/>
      <c r="IG72" s="47"/>
      <c r="IH72" s="47"/>
      <c r="II72" s="47"/>
      <c r="IJ72" s="47"/>
      <c r="IK72" s="47"/>
      <c r="IL72" s="47"/>
      <c r="IM72" s="47"/>
      <c r="IN72" s="47"/>
      <c r="IO72" s="47"/>
      <c r="IP72" s="47"/>
      <c r="IQ72" s="47"/>
    </row>
    <row r="73" spans="2:251" ht="30" customHeight="1" x14ac:dyDescent="0.2">
      <c r="B73" s="58" t="s">
        <v>59</v>
      </c>
      <c r="C73" s="59" t="s">
        <v>52</v>
      </c>
      <c r="D73" s="50">
        <v>1</v>
      </c>
      <c r="E73" s="60">
        <f>E83+5</f>
        <v>45917</v>
      </c>
      <c r="F73" s="60">
        <f>E74+1</f>
        <v>45926</v>
      </c>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row>
    <row r="74" spans="2:251" ht="30" customHeight="1" x14ac:dyDescent="0.2">
      <c r="B74" s="58" t="s">
        <v>51</v>
      </c>
      <c r="C74" s="59" t="s">
        <v>52</v>
      </c>
      <c r="D74" s="50">
        <v>1</v>
      </c>
      <c r="E74" s="60">
        <f>E73+8</f>
        <v>45925</v>
      </c>
      <c r="F74" s="60">
        <f>E74+3</f>
        <v>45928</v>
      </c>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7"/>
      <c r="GR74" s="47"/>
      <c r="GS74" s="47"/>
      <c r="GT74" s="47"/>
      <c r="GU74" s="47"/>
      <c r="GV74" s="47"/>
      <c r="GW74" s="47"/>
      <c r="GX74" s="47"/>
      <c r="GY74" s="47"/>
      <c r="GZ74" s="47"/>
      <c r="HA74" s="47"/>
      <c r="HB74" s="47"/>
      <c r="HC74" s="47"/>
      <c r="HD74" s="47"/>
      <c r="HE74" s="47"/>
      <c r="HF74" s="47"/>
      <c r="HG74" s="47"/>
      <c r="HH74" s="47"/>
      <c r="HI74" s="47"/>
      <c r="HJ74" s="47"/>
      <c r="HK74" s="47"/>
      <c r="HL74" s="47"/>
      <c r="HM74" s="47"/>
      <c r="HN74" s="47"/>
      <c r="HO74" s="47"/>
      <c r="HP74" s="47"/>
      <c r="HQ74" s="47"/>
      <c r="HR74" s="47"/>
      <c r="HS74" s="47"/>
      <c r="HT74" s="47"/>
      <c r="HU74" s="47"/>
      <c r="HV74" s="47"/>
      <c r="HW74" s="47"/>
      <c r="HX74" s="47"/>
      <c r="HY74" s="47"/>
      <c r="HZ74" s="47"/>
      <c r="IA74" s="47"/>
      <c r="IB74" s="47"/>
      <c r="IC74" s="47"/>
      <c r="ID74" s="47"/>
      <c r="IE74" s="47"/>
      <c r="IF74" s="47"/>
      <c r="IG74" s="47"/>
      <c r="IH74" s="47"/>
      <c r="II74" s="47"/>
      <c r="IJ74" s="47"/>
      <c r="IK74" s="47"/>
      <c r="IL74" s="47"/>
      <c r="IM74" s="47"/>
      <c r="IN74" s="47"/>
      <c r="IO74" s="47"/>
      <c r="IP74" s="47"/>
      <c r="IQ74" s="47"/>
    </row>
    <row r="75" spans="2:251" ht="30" customHeight="1" x14ac:dyDescent="0.2">
      <c r="B75" s="61" t="s">
        <v>68</v>
      </c>
      <c r="C75" s="62"/>
      <c r="D75" s="63"/>
      <c r="E75" s="64"/>
      <c r="F75" s="65"/>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E75" s="47"/>
      <c r="HF75" s="47"/>
      <c r="HG75" s="47"/>
      <c r="HH75" s="47"/>
      <c r="HI75" s="47"/>
      <c r="HJ75" s="47"/>
      <c r="HK75" s="47"/>
      <c r="HL75" s="47"/>
      <c r="HM75" s="47"/>
      <c r="HN75" s="47"/>
      <c r="HO75" s="47"/>
      <c r="HP75" s="47"/>
      <c r="HQ75" s="47"/>
      <c r="HR75" s="47"/>
      <c r="HS75" s="47"/>
      <c r="HT75" s="47"/>
      <c r="HU75" s="47"/>
      <c r="HV75" s="47"/>
      <c r="HW75" s="47"/>
      <c r="HX75" s="47"/>
      <c r="HY75" s="47"/>
      <c r="HZ75" s="47"/>
      <c r="IA75" s="47"/>
      <c r="IB75" s="47"/>
      <c r="IC75" s="47"/>
      <c r="ID75" s="47"/>
      <c r="IE75" s="47"/>
      <c r="IF75" s="47"/>
      <c r="IG75" s="47"/>
      <c r="IH75" s="47"/>
      <c r="II75" s="47"/>
      <c r="IJ75" s="47"/>
      <c r="IK75" s="47"/>
      <c r="IL75" s="47"/>
      <c r="IM75" s="47"/>
      <c r="IN75" s="47"/>
      <c r="IO75" s="47"/>
      <c r="IP75" s="47"/>
      <c r="IQ75" s="47"/>
    </row>
    <row r="76" spans="2:251" ht="30" customHeight="1" x14ac:dyDescent="0.2">
      <c r="B76" s="67" t="s">
        <v>66</v>
      </c>
      <c r="C76" s="68" t="s">
        <v>57</v>
      </c>
      <c r="D76" s="50">
        <v>1</v>
      </c>
      <c r="E76" s="69">
        <f>E78-2</f>
        <v>45941</v>
      </c>
      <c r="F76" s="69">
        <f>E76+1</f>
        <v>45942</v>
      </c>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E76" s="47"/>
      <c r="HF76" s="47"/>
      <c r="HG76" s="47"/>
      <c r="HH76" s="47"/>
      <c r="HI76" s="47"/>
      <c r="HJ76" s="47"/>
      <c r="HK76" s="47"/>
      <c r="HL76" s="47"/>
      <c r="HM76" s="47"/>
      <c r="HN76" s="47"/>
      <c r="HO76" s="47"/>
      <c r="HP76" s="47"/>
      <c r="HQ76" s="47"/>
      <c r="HR76" s="47"/>
      <c r="HS76" s="47"/>
      <c r="HT76" s="47"/>
      <c r="HU76" s="47"/>
      <c r="HV76" s="47"/>
      <c r="HW76" s="47"/>
      <c r="HX76" s="47"/>
      <c r="HY76" s="47"/>
      <c r="HZ76" s="47"/>
      <c r="IA76" s="47"/>
      <c r="IB76" s="47"/>
      <c r="IC76" s="47"/>
      <c r="ID76" s="47"/>
      <c r="IE76" s="47"/>
      <c r="IF76" s="47"/>
      <c r="IG76" s="47"/>
      <c r="IH76" s="47"/>
      <c r="II76" s="47"/>
      <c r="IJ76" s="47"/>
      <c r="IK76" s="47"/>
      <c r="IL76" s="47"/>
      <c r="IM76" s="47"/>
      <c r="IN76" s="47"/>
      <c r="IO76" s="47"/>
      <c r="IP76" s="47"/>
      <c r="IQ76" s="47"/>
    </row>
    <row r="77" spans="2:251" ht="30" customHeight="1" x14ac:dyDescent="0.2">
      <c r="B77" s="67" t="s">
        <v>65</v>
      </c>
      <c r="C77" s="68" t="s">
        <v>57</v>
      </c>
      <c r="D77" s="50">
        <v>1</v>
      </c>
      <c r="E77" s="69">
        <f>F76</f>
        <v>45942</v>
      </c>
      <c r="F77" s="69">
        <f>E77+1</f>
        <v>45943</v>
      </c>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row>
    <row r="78" spans="2:251" ht="30" customHeight="1" x14ac:dyDescent="0.2">
      <c r="B78" s="67" t="s">
        <v>54</v>
      </c>
      <c r="C78" s="68" t="s">
        <v>52</v>
      </c>
      <c r="D78" s="50">
        <v>1</v>
      </c>
      <c r="E78" s="69">
        <f>E79</f>
        <v>45943</v>
      </c>
      <c r="F78" s="69">
        <f>E78</f>
        <v>45943</v>
      </c>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7"/>
      <c r="GR78" s="47"/>
      <c r="GS78" s="47"/>
      <c r="GT78" s="47"/>
      <c r="GU78" s="47"/>
      <c r="GV78" s="47"/>
      <c r="GW78" s="47"/>
      <c r="GX78" s="47"/>
      <c r="GY78" s="47"/>
      <c r="GZ78" s="47"/>
      <c r="HA78" s="47"/>
      <c r="HB78" s="47"/>
      <c r="HC78" s="47"/>
      <c r="HD78" s="47"/>
      <c r="HE78" s="47"/>
      <c r="HF78" s="47"/>
      <c r="HG78" s="47"/>
      <c r="HH78" s="47"/>
      <c r="HI78" s="47"/>
      <c r="HJ78" s="47"/>
      <c r="HK78" s="47"/>
      <c r="HL78" s="47"/>
      <c r="HM78" s="47"/>
      <c r="HN78" s="47"/>
      <c r="HO78" s="47"/>
      <c r="HP78" s="47"/>
      <c r="HQ78" s="47"/>
      <c r="HR78" s="47"/>
      <c r="HS78" s="47"/>
      <c r="HT78" s="47"/>
      <c r="HU78" s="47"/>
      <c r="HV78" s="47"/>
      <c r="HW78" s="47"/>
      <c r="HX78" s="47"/>
      <c r="HY78" s="47"/>
      <c r="HZ78" s="47"/>
      <c r="IA78" s="47"/>
      <c r="IB78" s="47"/>
      <c r="IC78" s="47"/>
      <c r="ID78" s="47"/>
      <c r="IE78" s="47"/>
      <c r="IF78" s="47"/>
      <c r="IG78" s="47"/>
      <c r="IH78" s="47"/>
      <c r="II78" s="47"/>
      <c r="IJ78" s="47"/>
      <c r="IK78" s="47"/>
      <c r="IL78" s="47"/>
      <c r="IM78" s="47"/>
      <c r="IN78" s="47"/>
      <c r="IO78" s="47"/>
      <c r="IP78" s="47"/>
      <c r="IQ78" s="47"/>
    </row>
    <row r="79" spans="2:251" ht="30" customHeight="1" x14ac:dyDescent="0.2">
      <c r="B79" s="67" t="s">
        <v>55</v>
      </c>
      <c r="C79" s="68" t="s">
        <v>57</v>
      </c>
      <c r="D79" s="50">
        <v>1</v>
      </c>
      <c r="E79" s="69">
        <f>E80-1</f>
        <v>45943</v>
      </c>
      <c r="F79" s="69">
        <f>E79</f>
        <v>45943</v>
      </c>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row>
    <row r="80" spans="2:251" ht="30" customHeight="1" x14ac:dyDescent="0.2">
      <c r="B80" s="67" t="s">
        <v>56</v>
      </c>
      <c r="C80" s="68" t="s">
        <v>57</v>
      </c>
      <c r="D80" s="50">
        <v>1</v>
      </c>
      <c r="E80" s="69">
        <f>E81-1</f>
        <v>45944</v>
      </c>
      <c r="F80" s="69">
        <f>E80+1</f>
        <v>45945</v>
      </c>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47"/>
      <c r="EJ80" s="47"/>
      <c r="EK80" s="47"/>
      <c r="EL80" s="47"/>
      <c r="EM80" s="47"/>
      <c r="EN80" s="47"/>
      <c r="EO80" s="47"/>
      <c r="EP80" s="47"/>
      <c r="EQ80" s="47"/>
      <c r="ER80" s="47"/>
      <c r="ES80" s="47"/>
      <c r="ET80" s="47"/>
      <c r="EU80" s="47"/>
      <c r="EV80" s="47"/>
      <c r="EW80" s="47"/>
      <c r="EX80" s="47"/>
      <c r="EY80" s="47"/>
      <c r="EZ80" s="47"/>
      <c r="FA80" s="47"/>
      <c r="FB80" s="47"/>
      <c r="FC80" s="47"/>
      <c r="FD80" s="47"/>
      <c r="FE80" s="47"/>
      <c r="FF80" s="47"/>
      <c r="FG80" s="47"/>
      <c r="FH80" s="47"/>
      <c r="FI80" s="47"/>
      <c r="FJ80" s="47"/>
      <c r="FK80" s="47"/>
      <c r="FL80" s="47"/>
      <c r="FM80" s="47"/>
      <c r="FN80" s="47"/>
      <c r="FO80" s="47"/>
      <c r="FP80" s="47"/>
      <c r="FQ80" s="47"/>
      <c r="FR80" s="47"/>
      <c r="FS80" s="47"/>
      <c r="FT80" s="47"/>
      <c r="FU80" s="47"/>
      <c r="FV80" s="47"/>
      <c r="FW80" s="47"/>
      <c r="FX80" s="47"/>
      <c r="FY80" s="47"/>
      <c r="FZ80" s="47"/>
      <c r="GA80" s="47"/>
      <c r="GB80" s="47"/>
      <c r="GC80" s="47"/>
      <c r="GD80" s="47"/>
      <c r="GE80" s="47"/>
      <c r="GF80" s="47"/>
      <c r="GG80" s="47"/>
      <c r="GH80" s="47"/>
      <c r="GI80" s="47"/>
      <c r="GJ80" s="47"/>
      <c r="GK80" s="47"/>
      <c r="GL80" s="47"/>
      <c r="GM80" s="47"/>
      <c r="GN80" s="47"/>
      <c r="GO80" s="47"/>
      <c r="GP80" s="47"/>
      <c r="GQ80" s="47"/>
      <c r="GR80" s="47"/>
      <c r="GS80" s="47"/>
      <c r="GT80" s="47"/>
      <c r="GU80" s="47"/>
      <c r="GV80" s="47"/>
      <c r="GW80" s="47"/>
      <c r="GX80" s="47"/>
      <c r="GY80" s="47"/>
      <c r="GZ80" s="47"/>
      <c r="HA80" s="47"/>
      <c r="HB80" s="47"/>
      <c r="HC80" s="47"/>
      <c r="HD80" s="47"/>
      <c r="HE80" s="47"/>
      <c r="HF80" s="47"/>
      <c r="HG80" s="47"/>
      <c r="HH80" s="47"/>
      <c r="HI80" s="47"/>
      <c r="HJ80" s="47"/>
      <c r="HK80" s="47"/>
      <c r="HL80" s="47"/>
      <c r="HM80" s="47"/>
      <c r="HN80" s="47"/>
      <c r="HO80" s="47"/>
      <c r="HP80" s="47"/>
      <c r="HQ80" s="47"/>
      <c r="HR80" s="47"/>
      <c r="HS80" s="47"/>
      <c r="HT80" s="47"/>
      <c r="HU80" s="47"/>
      <c r="HV80" s="47"/>
      <c r="HW80" s="47"/>
      <c r="HX80" s="47"/>
      <c r="HY80" s="47"/>
      <c r="HZ80" s="47"/>
      <c r="IA80" s="47"/>
      <c r="IB80" s="47"/>
      <c r="IC80" s="47"/>
      <c r="ID80" s="47"/>
      <c r="IE80" s="47"/>
      <c r="IF80" s="47"/>
      <c r="IG80" s="47"/>
      <c r="IH80" s="47"/>
      <c r="II80" s="47"/>
      <c r="IJ80" s="47"/>
      <c r="IK80" s="47"/>
      <c r="IL80" s="47"/>
      <c r="IM80" s="47"/>
      <c r="IN80" s="47"/>
      <c r="IO80" s="47"/>
      <c r="IP80" s="47"/>
      <c r="IQ80" s="47"/>
    </row>
    <row r="81" spans="2:252" ht="30" customHeight="1" x14ac:dyDescent="0.2">
      <c r="B81" s="67" t="s">
        <v>53</v>
      </c>
      <c r="C81" s="68" t="s">
        <v>57</v>
      </c>
      <c r="D81" s="50">
        <v>1</v>
      </c>
      <c r="E81" s="69">
        <f>AY5+2</f>
        <v>45945</v>
      </c>
      <c r="F81" s="69">
        <f>E81</f>
        <v>45945</v>
      </c>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47"/>
      <c r="EJ81" s="47"/>
      <c r="EK81" s="47"/>
      <c r="EL81" s="47"/>
      <c r="EM81" s="47"/>
      <c r="EN81" s="47"/>
      <c r="EO81" s="47"/>
      <c r="EP81" s="47"/>
      <c r="EQ81" s="47"/>
      <c r="ER81" s="47"/>
      <c r="ES81" s="47"/>
      <c r="ET81" s="47"/>
      <c r="EU81" s="47"/>
      <c r="EV81" s="47"/>
      <c r="EW81" s="47"/>
      <c r="EX81" s="47"/>
      <c r="EY81" s="47"/>
      <c r="EZ81" s="47"/>
      <c r="FA81" s="47"/>
      <c r="FB81" s="47"/>
      <c r="FC81" s="47"/>
      <c r="FD81" s="47"/>
      <c r="FE81" s="47"/>
      <c r="FF81" s="47"/>
      <c r="FG81" s="47"/>
      <c r="FH81" s="47"/>
      <c r="FI81" s="47"/>
      <c r="FJ81" s="47"/>
      <c r="FK81" s="47"/>
      <c r="FL81" s="47"/>
      <c r="FM81" s="47"/>
      <c r="FN81" s="47"/>
      <c r="FO81" s="47"/>
      <c r="FP81" s="47"/>
      <c r="FQ81" s="47"/>
      <c r="FR81" s="47"/>
      <c r="FS81" s="47"/>
      <c r="FT81" s="47"/>
      <c r="FU81" s="47"/>
      <c r="FV81" s="47"/>
      <c r="FW81" s="47"/>
      <c r="FX81" s="47"/>
      <c r="FY81" s="47"/>
      <c r="FZ81" s="47"/>
      <c r="GA81" s="47"/>
      <c r="GB81" s="47"/>
      <c r="GC81" s="47"/>
      <c r="GD81" s="47"/>
      <c r="GE81" s="47"/>
      <c r="GF81" s="47"/>
      <c r="GG81" s="47"/>
      <c r="GH81" s="47"/>
      <c r="GI81" s="47"/>
      <c r="GJ81" s="47"/>
      <c r="GK81" s="47"/>
      <c r="GL81" s="47"/>
      <c r="GM81" s="47"/>
      <c r="GN81" s="47"/>
      <c r="GO81" s="47"/>
      <c r="GP81" s="47"/>
      <c r="GQ81" s="47"/>
      <c r="GR81" s="47"/>
      <c r="GS81" s="47"/>
      <c r="GT81" s="47"/>
      <c r="GU81" s="47"/>
      <c r="GV81" s="47"/>
      <c r="GW81" s="47"/>
      <c r="GX81" s="47"/>
      <c r="GY81" s="47"/>
      <c r="GZ81" s="47"/>
      <c r="HA81" s="47"/>
      <c r="HB81" s="47"/>
      <c r="HC81" s="47"/>
      <c r="HD81" s="47"/>
      <c r="HE81" s="47"/>
      <c r="HF81" s="47"/>
      <c r="HG81" s="47"/>
      <c r="HH81" s="47"/>
      <c r="HI81" s="47"/>
      <c r="HJ81" s="47"/>
      <c r="HK81" s="47"/>
      <c r="HL81" s="47"/>
      <c r="HM81" s="47"/>
      <c r="HN81" s="47"/>
      <c r="HO81" s="47"/>
      <c r="HP81" s="47"/>
      <c r="HQ81" s="47"/>
      <c r="HR81" s="47"/>
      <c r="HS81" s="47"/>
      <c r="HT81" s="47"/>
      <c r="HU81" s="47"/>
      <c r="HV81" s="47"/>
      <c r="HW81" s="47"/>
      <c r="HX81" s="47"/>
      <c r="HY81" s="47"/>
      <c r="HZ81" s="47"/>
      <c r="IA81" s="47"/>
      <c r="IB81" s="47"/>
      <c r="IC81" s="47"/>
      <c r="ID81" s="47"/>
      <c r="IE81" s="47"/>
      <c r="IF81" s="47"/>
      <c r="IG81" s="47"/>
      <c r="IH81" s="47"/>
      <c r="II81" s="47"/>
      <c r="IJ81" s="47"/>
      <c r="IK81" s="47"/>
      <c r="IL81" s="47"/>
      <c r="IM81" s="47"/>
      <c r="IN81" s="47"/>
      <c r="IO81" s="47"/>
      <c r="IP81" s="47"/>
      <c r="IQ81" s="47"/>
    </row>
    <row r="82" spans="2:252" ht="30" customHeight="1" x14ac:dyDescent="0.2">
      <c r="B82" s="70" t="s">
        <v>67</v>
      </c>
      <c r="C82" s="71"/>
      <c r="D82" s="72"/>
      <c r="E82" s="73"/>
      <c r="F82" s="74"/>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47"/>
      <c r="EJ82" s="47"/>
      <c r="EK82" s="47"/>
      <c r="EL82" s="47"/>
      <c r="EM82" s="47"/>
      <c r="EN82" s="47"/>
      <c r="EO82" s="47"/>
      <c r="EP82" s="47"/>
      <c r="EQ82" s="47"/>
      <c r="ER82" s="47"/>
      <c r="ES82" s="47"/>
      <c r="ET82" s="47"/>
      <c r="EU82" s="47"/>
      <c r="EV82" s="47"/>
      <c r="EW82" s="47"/>
      <c r="EX82" s="47"/>
      <c r="EY82" s="47"/>
      <c r="EZ82" s="47"/>
      <c r="FA82" s="47"/>
      <c r="FB82" s="47"/>
      <c r="FC82" s="47"/>
      <c r="FD82" s="47"/>
      <c r="FE82" s="47"/>
      <c r="FF82" s="47"/>
      <c r="FG82" s="47"/>
      <c r="FH82" s="47"/>
      <c r="FI82" s="47"/>
      <c r="FJ82" s="47"/>
      <c r="FK82" s="47"/>
      <c r="FL82" s="47"/>
      <c r="FM82" s="47"/>
      <c r="FN82" s="47"/>
      <c r="FO82" s="47"/>
      <c r="FP82" s="47"/>
      <c r="FQ82" s="47"/>
      <c r="FR82" s="47"/>
      <c r="FS82" s="47"/>
      <c r="FT82" s="47"/>
      <c r="FU82" s="47"/>
      <c r="FV82" s="47"/>
      <c r="FW82" s="47"/>
      <c r="FX82" s="47"/>
      <c r="FY82" s="47"/>
      <c r="FZ82" s="47"/>
      <c r="GA82" s="47"/>
      <c r="GB82" s="47"/>
      <c r="GC82" s="47"/>
      <c r="GD82" s="47"/>
      <c r="GE82" s="47"/>
      <c r="GF82" s="47"/>
      <c r="GG82" s="47"/>
      <c r="GH82" s="47"/>
      <c r="GI82" s="47"/>
      <c r="GJ82" s="47"/>
      <c r="GK82" s="47"/>
      <c r="GL82" s="47"/>
      <c r="GM82" s="47"/>
      <c r="GN82" s="47"/>
      <c r="GO82" s="47"/>
      <c r="GP82" s="47"/>
      <c r="GQ82" s="47"/>
      <c r="GR82" s="47"/>
      <c r="GS82" s="47"/>
      <c r="GT82" s="47"/>
      <c r="GU82" s="47"/>
      <c r="GV82" s="47"/>
      <c r="GW82" s="47"/>
      <c r="GX82" s="47"/>
      <c r="GY82" s="47"/>
      <c r="GZ82" s="47"/>
      <c r="HA82" s="47"/>
      <c r="HB82" s="47"/>
      <c r="HC82" s="47"/>
      <c r="HD82" s="47"/>
      <c r="HE82" s="47"/>
      <c r="HF82" s="47"/>
      <c r="HG82" s="47"/>
      <c r="HH82" s="47"/>
      <c r="HI82" s="47"/>
      <c r="HJ82" s="47"/>
      <c r="HK82" s="47"/>
      <c r="HL82" s="47"/>
      <c r="HM82" s="47"/>
      <c r="HN82" s="47"/>
      <c r="HO82" s="47"/>
      <c r="HP82" s="47"/>
      <c r="HQ82" s="47"/>
      <c r="HR82" s="47"/>
      <c r="HS82" s="47"/>
      <c r="HT82" s="47"/>
      <c r="HU82" s="47"/>
      <c r="HV82" s="47"/>
      <c r="HW82" s="47"/>
      <c r="HX82" s="47"/>
      <c r="HY82" s="47"/>
      <c r="HZ82" s="47"/>
      <c r="IA82" s="47"/>
      <c r="IB82" s="47"/>
      <c r="IC82" s="47"/>
      <c r="ID82" s="47"/>
      <c r="IE82" s="47"/>
      <c r="IF82" s="47"/>
      <c r="IG82" s="47"/>
      <c r="IH82" s="47"/>
      <c r="II82" s="47"/>
      <c r="IJ82" s="47"/>
      <c r="IK82" s="47"/>
      <c r="IL82" s="47"/>
      <c r="IM82" s="47"/>
      <c r="IN82" s="47"/>
      <c r="IO82" s="47"/>
      <c r="IP82" s="47"/>
      <c r="IQ82" s="47"/>
    </row>
    <row r="83" spans="2:252" ht="30" customHeight="1" x14ac:dyDescent="0.2">
      <c r="B83" s="76" t="s">
        <v>58</v>
      </c>
      <c r="C83" s="77" t="s">
        <v>52</v>
      </c>
      <c r="D83" s="50">
        <v>1</v>
      </c>
      <c r="E83" s="78">
        <f>W5-3</f>
        <v>45912</v>
      </c>
      <c r="F83" s="78">
        <f>E83</f>
        <v>45912</v>
      </c>
      <c r="I83" s="47"/>
      <c r="J83" s="47"/>
      <c r="K83" s="47"/>
      <c r="L83" s="47"/>
      <c r="M83" s="47"/>
      <c r="N83" s="47"/>
      <c r="O83" s="47"/>
      <c r="P83" s="47"/>
      <c r="Q83" s="47"/>
      <c r="R83" s="47"/>
      <c r="S83" s="47"/>
      <c r="T83" s="93"/>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E83" s="47"/>
      <c r="HF83" s="47"/>
      <c r="HG83" s="47"/>
      <c r="HH83" s="47"/>
      <c r="HI83" s="47"/>
      <c r="HJ83" s="47"/>
      <c r="HK83" s="47"/>
      <c r="HL83" s="47"/>
      <c r="HM83" s="47"/>
      <c r="HN83" s="47"/>
      <c r="HO83" s="47"/>
      <c r="HP83" s="47"/>
      <c r="HQ83" s="47"/>
      <c r="HR83" s="47"/>
      <c r="HS83" s="47"/>
      <c r="HT83" s="47"/>
      <c r="HU83" s="47"/>
      <c r="HV83" s="47"/>
      <c r="HW83" s="47"/>
      <c r="HX83" s="47"/>
      <c r="HY83" s="47"/>
      <c r="HZ83" s="47"/>
      <c r="IA83" s="47"/>
      <c r="IB83" s="47"/>
      <c r="IC83" s="47"/>
      <c r="ID83" s="47"/>
      <c r="IE83" s="47"/>
      <c r="IF83" s="47"/>
      <c r="IG83" s="47"/>
      <c r="IH83" s="47"/>
      <c r="II83" s="47"/>
      <c r="IJ83" s="47"/>
      <c r="IK83" s="47"/>
      <c r="IL83" s="47"/>
      <c r="IM83" s="47"/>
      <c r="IN83" s="47"/>
      <c r="IO83" s="47"/>
      <c r="IP83" s="47"/>
      <c r="IQ83" s="47"/>
    </row>
    <row r="84" spans="2:252" ht="30" customHeight="1" x14ac:dyDescent="0.2">
      <c r="B84" s="76" t="s">
        <v>58</v>
      </c>
      <c r="C84" s="77" t="s">
        <v>52</v>
      </c>
      <c r="D84" s="50">
        <v>1</v>
      </c>
      <c r="E84" s="78">
        <f>W5 +12</f>
        <v>45927</v>
      </c>
      <c r="F84" s="78">
        <f>E84</f>
        <v>45927</v>
      </c>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93"/>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47"/>
      <c r="EJ84" s="47"/>
      <c r="EK84" s="47"/>
      <c r="EL84" s="47"/>
      <c r="EM84" s="47"/>
      <c r="EN84" s="47"/>
      <c r="EO84" s="47"/>
      <c r="EP84" s="47"/>
      <c r="EQ84" s="47"/>
      <c r="ER84" s="47"/>
      <c r="ES84" s="47"/>
      <c r="ET84" s="47"/>
      <c r="EU84" s="47"/>
      <c r="EV84" s="47"/>
      <c r="EW84" s="47"/>
      <c r="EX84" s="47"/>
      <c r="EY84" s="47"/>
      <c r="EZ84" s="47"/>
      <c r="FA84" s="47"/>
      <c r="FB84" s="47"/>
      <c r="FC84" s="47"/>
      <c r="FD84" s="47"/>
      <c r="FE84" s="47"/>
      <c r="FF84" s="47"/>
      <c r="FG84" s="47"/>
      <c r="FH84" s="47"/>
      <c r="FI84" s="47"/>
      <c r="FJ84" s="47"/>
      <c r="FK84" s="47"/>
      <c r="FL84" s="47"/>
      <c r="FM84" s="47"/>
      <c r="FN84" s="47"/>
      <c r="FO84" s="47"/>
      <c r="FP84" s="47"/>
      <c r="FQ84" s="47"/>
      <c r="FR84" s="47"/>
      <c r="FS84" s="47"/>
      <c r="FT84" s="47"/>
      <c r="FU84" s="47"/>
      <c r="FV84" s="47"/>
      <c r="FW84" s="47"/>
      <c r="FX84" s="47"/>
      <c r="FY84" s="47"/>
      <c r="FZ84" s="47"/>
      <c r="GA84" s="47"/>
      <c r="GB84" s="47"/>
      <c r="GC84" s="47"/>
      <c r="GD84" s="47"/>
      <c r="GE84" s="47"/>
      <c r="GF84" s="47"/>
      <c r="GG84" s="47"/>
      <c r="GH84" s="47"/>
      <c r="GI84" s="47"/>
      <c r="GJ84" s="47"/>
      <c r="GK84" s="47"/>
      <c r="GL84" s="47"/>
      <c r="GM84" s="47"/>
      <c r="GN84" s="47"/>
      <c r="GO84" s="47"/>
      <c r="GP84" s="47"/>
      <c r="GQ84" s="47"/>
      <c r="GR84" s="47"/>
      <c r="GS84" s="47"/>
      <c r="GT84" s="47"/>
      <c r="GU84" s="47"/>
      <c r="GV84" s="47"/>
      <c r="GW84" s="47"/>
      <c r="GX84" s="47"/>
      <c r="GY84" s="47"/>
      <c r="GZ84" s="47"/>
      <c r="HA84" s="47"/>
      <c r="HB84" s="47"/>
      <c r="HC84" s="47"/>
      <c r="HD84" s="47"/>
      <c r="HE84" s="47"/>
      <c r="HF84" s="47"/>
      <c r="HG84" s="47"/>
      <c r="HH84" s="47"/>
      <c r="HI84" s="47"/>
      <c r="HJ84" s="47"/>
      <c r="HK84" s="47"/>
      <c r="HL84" s="47"/>
      <c r="HM84" s="47"/>
      <c r="HN84" s="47"/>
      <c r="HO84" s="47"/>
      <c r="HP84" s="47"/>
      <c r="HQ84" s="47"/>
      <c r="HR84" s="47"/>
      <c r="HS84" s="47"/>
      <c r="HT84" s="47"/>
      <c r="HU84" s="47"/>
      <c r="HV84" s="47"/>
      <c r="HW84" s="47"/>
      <c r="HX84" s="47"/>
      <c r="HY84" s="47"/>
      <c r="HZ84" s="47"/>
      <c r="IA84" s="47"/>
      <c r="IB84" s="47"/>
      <c r="IC84" s="47"/>
      <c r="ID84" s="47"/>
      <c r="IE84" s="47"/>
      <c r="IF84" s="47"/>
      <c r="IG84" s="47"/>
      <c r="IH84" s="47"/>
      <c r="II84" s="47"/>
      <c r="IJ84" s="47"/>
      <c r="IK84" s="47"/>
      <c r="IL84" s="47"/>
      <c r="IM84" s="47"/>
      <c r="IN84" s="47"/>
      <c r="IO84" s="47"/>
      <c r="IP84" s="47"/>
      <c r="IQ84" s="47"/>
    </row>
    <row r="85" spans="2:252" ht="30" customHeight="1" x14ac:dyDescent="0.2">
      <c r="B85" s="36" t="s">
        <v>69</v>
      </c>
      <c r="C85" s="37"/>
      <c r="D85" s="38"/>
      <c r="E85" s="39"/>
      <c r="F85" s="40"/>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47"/>
      <c r="EJ85" s="47"/>
      <c r="EK85" s="47"/>
      <c r="EL85" s="47"/>
      <c r="EM85" s="47"/>
      <c r="EN85" s="47"/>
      <c r="EO85" s="47"/>
      <c r="EP85" s="47"/>
      <c r="EQ85" s="47"/>
      <c r="ER85" s="47"/>
      <c r="ES85" s="47"/>
      <c r="ET85" s="47"/>
      <c r="EU85" s="47"/>
      <c r="EV85" s="47"/>
      <c r="EW85" s="47"/>
      <c r="EX85" s="47"/>
      <c r="EY85" s="47"/>
      <c r="EZ85" s="47"/>
      <c r="FA85" s="47"/>
      <c r="FB85" s="47"/>
      <c r="FC85" s="47"/>
      <c r="FD85" s="47"/>
      <c r="FE85" s="47"/>
      <c r="FF85" s="47"/>
      <c r="FG85" s="47"/>
      <c r="FH85" s="47"/>
      <c r="FI85" s="47"/>
      <c r="FJ85" s="47"/>
      <c r="FK85" s="47"/>
      <c r="FL85" s="47"/>
      <c r="FM85" s="47"/>
      <c r="FN85" s="47"/>
      <c r="FO85" s="47"/>
      <c r="FP85" s="47"/>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47"/>
      <c r="HE85" s="47"/>
      <c r="HF85" s="47"/>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47"/>
      <c r="IQ85" s="47"/>
    </row>
    <row r="86" spans="2:252" ht="30" customHeight="1" x14ac:dyDescent="0.2">
      <c r="B86" s="43" t="s">
        <v>28</v>
      </c>
      <c r="C86" s="44" t="s">
        <v>70</v>
      </c>
      <c r="D86" s="45">
        <v>1</v>
      </c>
      <c r="E86" s="46">
        <v>46027</v>
      </c>
      <c r="F86" s="46">
        <v>46032</v>
      </c>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47"/>
      <c r="EJ86" s="47"/>
      <c r="EK86" s="47"/>
      <c r="EL86" s="47"/>
      <c r="EM86" s="47"/>
      <c r="EN86" s="47"/>
      <c r="EO86" s="47"/>
      <c r="EP86" s="47"/>
      <c r="EQ86" s="47"/>
      <c r="ER86" s="47"/>
      <c r="ES86" s="47"/>
      <c r="ET86" s="47"/>
      <c r="EU86" s="47"/>
      <c r="EV86" s="47"/>
      <c r="EW86" s="47"/>
      <c r="EX86" s="47"/>
      <c r="EY86" s="47"/>
      <c r="EZ86" s="47"/>
      <c r="FA86" s="47"/>
      <c r="FB86" s="47"/>
      <c r="FC86" s="47"/>
      <c r="FD86" s="47"/>
      <c r="FE86" s="47"/>
      <c r="FF86" s="47"/>
      <c r="FG86" s="47"/>
      <c r="FH86" s="47"/>
      <c r="FI86" s="47"/>
      <c r="FJ86" s="47"/>
      <c r="FK86" s="47"/>
      <c r="FL86" s="47"/>
      <c r="FM86" s="47"/>
      <c r="FN86" s="47"/>
      <c r="FO86" s="47"/>
      <c r="FP86" s="47"/>
      <c r="FQ86" s="47"/>
      <c r="FR86" s="47"/>
      <c r="FS86" s="47"/>
      <c r="FT86" s="47"/>
      <c r="FU86" s="47"/>
      <c r="FV86" s="47"/>
      <c r="FW86" s="47"/>
      <c r="FX86" s="47"/>
      <c r="FY86" s="47"/>
      <c r="FZ86" s="47"/>
      <c r="GA86" s="47"/>
      <c r="GB86" s="47"/>
      <c r="GC86" s="47"/>
      <c r="GD86" s="47"/>
      <c r="GE86" s="47"/>
      <c r="GF86" s="47"/>
      <c r="GG86" s="47"/>
      <c r="GH86" s="47"/>
      <c r="GI86" s="47"/>
      <c r="GJ86" s="47"/>
      <c r="GK86" s="47"/>
      <c r="GL86" s="47"/>
      <c r="GM86" s="47"/>
      <c r="GN86" s="47"/>
      <c r="GO86" s="47"/>
      <c r="GP86" s="47"/>
      <c r="GQ86" s="47"/>
      <c r="GR86" s="47"/>
      <c r="GS86" s="47"/>
      <c r="GT86" s="47"/>
      <c r="GU86" s="47"/>
      <c r="GV86" s="47"/>
      <c r="GW86" s="47"/>
      <c r="GX86" s="47"/>
      <c r="GY86" s="47"/>
      <c r="GZ86" s="47"/>
      <c r="HA86" s="47"/>
      <c r="HB86" s="47"/>
      <c r="HC86" s="47"/>
      <c r="HD86" s="47"/>
      <c r="HE86" s="47"/>
      <c r="HF86" s="47"/>
      <c r="HG86" s="47"/>
      <c r="HH86" s="47"/>
      <c r="HI86" s="47"/>
      <c r="HJ86" s="47"/>
      <c r="HK86" s="47"/>
      <c r="HL86" s="47"/>
      <c r="HM86" s="47"/>
      <c r="HN86" s="47"/>
      <c r="HO86" s="47"/>
      <c r="HP86" s="47"/>
      <c r="HQ86" s="47"/>
      <c r="HR86" s="47"/>
      <c r="HS86" s="47"/>
      <c r="HT86" s="47"/>
      <c r="HU86" s="47"/>
      <c r="HV86" s="47"/>
      <c r="HW86" s="47"/>
      <c r="HX86" s="47"/>
      <c r="HY86" s="47"/>
      <c r="HZ86" s="47"/>
      <c r="IA86" s="47"/>
      <c r="IB86" s="47"/>
      <c r="IC86" s="47"/>
      <c r="ID86" s="47"/>
      <c r="IE86" s="47"/>
      <c r="IF86" s="47"/>
      <c r="IG86" s="47"/>
      <c r="IH86" s="47"/>
      <c r="II86" s="47"/>
      <c r="IJ86" s="47"/>
      <c r="IK86" s="47"/>
      <c r="IL86" s="47"/>
      <c r="IM86" s="47"/>
      <c r="IN86" s="47"/>
      <c r="IO86" s="47"/>
      <c r="IP86" s="47"/>
      <c r="IQ86" s="47"/>
    </row>
    <row r="87" spans="2:252" ht="30" customHeight="1" x14ac:dyDescent="0.2">
      <c r="B87" s="48" t="s">
        <v>71</v>
      </c>
      <c r="C87" s="49" t="s">
        <v>60</v>
      </c>
      <c r="D87" s="50">
        <v>1</v>
      </c>
      <c r="E87" s="51">
        <f>F86</f>
        <v>46032</v>
      </c>
      <c r="F87" s="51">
        <f>E87+3</f>
        <v>46035</v>
      </c>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7"/>
      <c r="GR87" s="47"/>
      <c r="GS87" s="47"/>
      <c r="GT87" s="47"/>
      <c r="GU87" s="47"/>
      <c r="GV87" s="47"/>
      <c r="GW87" s="47"/>
      <c r="GX87" s="47"/>
      <c r="GY87" s="47"/>
      <c r="GZ87" s="47"/>
      <c r="HA87" s="47"/>
      <c r="HB87" s="47"/>
      <c r="HC87" s="47"/>
      <c r="HD87" s="47"/>
      <c r="HE87" s="47"/>
      <c r="HF87" s="47"/>
      <c r="HG87" s="47"/>
      <c r="HH87" s="47"/>
      <c r="HI87" s="47"/>
      <c r="HJ87" s="47"/>
      <c r="HK87" s="47"/>
      <c r="HL87" s="47"/>
      <c r="HM87" s="47"/>
      <c r="HN87" s="47"/>
      <c r="HO87" s="47"/>
      <c r="HP87" s="47"/>
      <c r="HQ87" s="47"/>
      <c r="HR87" s="47"/>
      <c r="HS87" s="47"/>
      <c r="HT87" s="47"/>
      <c r="HU87" s="47"/>
      <c r="HV87" s="47"/>
      <c r="HW87" s="47"/>
      <c r="HX87" s="47"/>
      <c r="HY87" s="47"/>
      <c r="HZ87" s="47"/>
      <c r="IA87" s="47"/>
      <c r="IB87" s="47"/>
      <c r="IC87" s="47"/>
      <c r="ID87" s="47"/>
      <c r="IE87" s="47"/>
      <c r="IF87" s="47"/>
      <c r="IG87" s="47"/>
      <c r="IH87" s="47"/>
      <c r="II87" s="47"/>
      <c r="IJ87" s="47"/>
      <c r="IK87" s="47"/>
      <c r="IL87" s="47"/>
      <c r="IM87" s="47"/>
      <c r="IN87" s="47"/>
      <c r="IO87" s="47"/>
      <c r="IP87" s="47"/>
      <c r="IQ87" s="47"/>
    </row>
    <row r="88" spans="2:252" ht="30" customHeight="1" x14ac:dyDescent="0.2">
      <c r="B88" s="48" t="s">
        <v>72</v>
      </c>
      <c r="C88" s="49" t="s">
        <v>60</v>
      </c>
      <c r="D88" s="50">
        <v>1</v>
      </c>
      <c r="E88" s="51">
        <f>F87</f>
        <v>46035</v>
      </c>
      <c r="F88" s="51">
        <f>E88+3</f>
        <v>46038</v>
      </c>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47"/>
      <c r="EO88" s="47"/>
      <c r="EP88" s="47"/>
      <c r="EQ88" s="47"/>
      <c r="ER88" s="47"/>
      <c r="ES88" s="47"/>
      <c r="ET88" s="47"/>
      <c r="EU88" s="47"/>
      <c r="EV88" s="47"/>
      <c r="EW88" s="47"/>
      <c r="EX88" s="47"/>
      <c r="EY88" s="47"/>
      <c r="EZ88" s="47"/>
      <c r="FA88" s="47"/>
      <c r="FB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7"/>
      <c r="GR88" s="47"/>
      <c r="GS88" s="47"/>
      <c r="GT88" s="47"/>
      <c r="GU88" s="47"/>
      <c r="GV88" s="47"/>
      <c r="GW88" s="47"/>
      <c r="GX88" s="47"/>
      <c r="GY88" s="47"/>
      <c r="GZ88" s="47"/>
      <c r="HA88" s="47"/>
      <c r="HB88" s="47"/>
      <c r="HC88" s="47"/>
      <c r="HD88" s="47"/>
      <c r="HE88" s="47"/>
      <c r="HF88" s="47"/>
      <c r="HG88" s="47"/>
      <c r="HH88" s="47"/>
      <c r="HI88" s="47"/>
      <c r="HJ88" s="47"/>
      <c r="HK88" s="47"/>
      <c r="HL88" s="47"/>
      <c r="HM88" s="47"/>
      <c r="HN88" s="47"/>
      <c r="HO88" s="47"/>
      <c r="HP88" s="47"/>
      <c r="HQ88" s="47"/>
      <c r="HR88" s="47"/>
      <c r="HS88" s="47"/>
      <c r="HT88" s="47"/>
      <c r="HU88" s="47"/>
      <c r="HV88" s="47"/>
      <c r="HW88" s="47"/>
      <c r="HX88" s="47"/>
      <c r="HY88" s="47"/>
      <c r="HZ88" s="47"/>
      <c r="IA88" s="47"/>
      <c r="IB88" s="47"/>
      <c r="IC88" s="47"/>
      <c r="ID88" s="47"/>
      <c r="IE88" s="47"/>
      <c r="IF88" s="47"/>
      <c r="IG88" s="47"/>
      <c r="IH88" s="47"/>
      <c r="II88" s="47"/>
      <c r="IJ88" s="47"/>
      <c r="IK88" s="47"/>
      <c r="IL88" s="47"/>
      <c r="IM88" s="47"/>
      <c r="IN88" s="47"/>
      <c r="IO88" s="47"/>
      <c r="IP88" s="47"/>
      <c r="IQ88" s="47"/>
    </row>
    <row r="89" spans="2:252" ht="30" customHeight="1" x14ac:dyDescent="0.2">
      <c r="B89" s="48" t="s">
        <v>73</v>
      </c>
      <c r="C89" s="49" t="s">
        <v>52</v>
      </c>
      <c r="D89" s="50">
        <v>1</v>
      </c>
      <c r="E89" s="51">
        <f>E87</f>
        <v>46032</v>
      </c>
      <c r="F89" s="51">
        <f>E89+3</f>
        <v>46035</v>
      </c>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7"/>
      <c r="GR89" s="47"/>
      <c r="GS89" s="47"/>
      <c r="GT89" s="47"/>
      <c r="GU89" s="47"/>
      <c r="GV89" s="47"/>
      <c r="GW89" s="47"/>
      <c r="GX89" s="47"/>
      <c r="GY89" s="47"/>
      <c r="GZ89" s="47"/>
      <c r="HA89" s="47"/>
      <c r="HB89" s="47"/>
      <c r="HC89" s="47"/>
      <c r="HD89" s="47"/>
      <c r="HE89" s="47"/>
      <c r="HF89" s="47"/>
      <c r="HG89" s="47"/>
      <c r="HH89" s="47"/>
      <c r="HI89" s="47"/>
      <c r="HJ89" s="47"/>
      <c r="HK89" s="47"/>
      <c r="HL89" s="47"/>
      <c r="HM89" s="47"/>
      <c r="HN89" s="47"/>
      <c r="HO89" s="47"/>
      <c r="HP89" s="47"/>
      <c r="HQ89" s="47"/>
      <c r="HR89" s="47"/>
      <c r="HS89" s="47"/>
      <c r="HT89" s="47"/>
      <c r="HU89" s="47"/>
      <c r="HV89" s="47"/>
      <c r="HW89" s="47"/>
      <c r="HX89" s="47"/>
      <c r="HY89" s="47"/>
      <c r="HZ89" s="47"/>
      <c r="IA89" s="47"/>
      <c r="IB89" s="47"/>
      <c r="IC89" s="47"/>
      <c r="ID89" s="47"/>
      <c r="IE89" s="47"/>
      <c r="IF89" s="47"/>
      <c r="IG89" s="47"/>
      <c r="IH89" s="47"/>
      <c r="II89" s="47"/>
      <c r="IJ89" s="47"/>
      <c r="IK89" s="47"/>
      <c r="IL89" s="47"/>
      <c r="IM89" s="47"/>
      <c r="IN89" s="47"/>
      <c r="IO89" s="47"/>
      <c r="IP89" s="47"/>
      <c r="IQ89" s="47"/>
    </row>
    <row r="90" spans="2:252" ht="30" customHeight="1" x14ac:dyDescent="0.2">
      <c r="B90" s="48" t="s">
        <v>74</v>
      </c>
      <c r="C90" s="49" t="s">
        <v>52</v>
      </c>
      <c r="D90" s="50">
        <v>1</v>
      </c>
      <c r="E90" s="51">
        <f>F89</f>
        <v>46035</v>
      </c>
      <c r="F90" s="51">
        <f>E90+3</f>
        <v>46038</v>
      </c>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47"/>
      <c r="EO90" s="47"/>
      <c r="EP90" s="47"/>
      <c r="EQ90" s="47"/>
      <c r="ER90" s="47"/>
      <c r="ES90" s="47"/>
      <c r="ET90" s="47"/>
      <c r="EU90" s="47"/>
      <c r="EV90" s="47"/>
      <c r="EW90" s="47"/>
      <c r="EX90" s="47"/>
      <c r="EY90" s="47"/>
      <c r="EZ90" s="47"/>
      <c r="FA90" s="47"/>
      <c r="FB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H90" s="47"/>
      <c r="GJ90" s="47"/>
      <c r="GL90" s="47"/>
      <c r="GN90" s="47"/>
      <c r="GP90" s="47"/>
      <c r="GR90" s="47"/>
      <c r="GT90" s="47"/>
      <c r="GV90" s="47"/>
      <c r="GX90" s="47"/>
      <c r="GZ90" s="47"/>
      <c r="HB90" s="47"/>
      <c r="HD90" s="47"/>
      <c r="HF90" s="47"/>
      <c r="HH90" s="47"/>
      <c r="HJ90" s="47"/>
      <c r="HL90" s="47"/>
      <c r="HN90" s="47"/>
      <c r="HP90" s="47"/>
      <c r="HR90" s="47"/>
      <c r="HT90" s="47"/>
      <c r="HV90" s="47"/>
      <c r="HX90" s="47"/>
      <c r="HZ90" s="47"/>
      <c r="IB90" s="47"/>
      <c r="ID90" s="47"/>
      <c r="IF90" s="47"/>
      <c r="IH90" s="47"/>
      <c r="IJ90" s="47"/>
      <c r="IL90" s="47"/>
      <c r="IN90" s="47"/>
      <c r="IP90" s="47"/>
      <c r="IR90" s="47"/>
    </row>
    <row r="91" spans="2:252" ht="30" customHeight="1" x14ac:dyDescent="0.2">
      <c r="B91" s="48" t="s">
        <v>75</v>
      </c>
      <c r="C91" s="49" t="s">
        <v>60</v>
      </c>
      <c r="D91" s="50">
        <v>1</v>
      </c>
      <c r="E91" s="51">
        <f>F90</f>
        <v>46038</v>
      </c>
      <c r="F91" s="51">
        <f>E91+10</f>
        <v>46048</v>
      </c>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47"/>
      <c r="EO91" s="47"/>
      <c r="EP91" s="47"/>
      <c r="EQ91" s="47"/>
      <c r="ER91" s="47"/>
      <c r="ES91" s="47"/>
      <c r="ET91" s="47"/>
      <c r="EU91" s="47"/>
      <c r="EV91" s="47"/>
      <c r="EW91" s="47"/>
      <c r="EX91" s="47"/>
      <c r="EY91" s="47"/>
      <c r="EZ91" s="47"/>
      <c r="FA91" s="47"/>
      <c r="FB91" s="47"/>
      <c r="FC91" s="47"/>
      <c r="FD91" s="47"/>
      <c r="FE91" s="47"/>
      <c r="FF91" s="47"/>
      <c r="FG91" s="47"/>
      <c r="FH91" s="47"/>
      <c r="FI91" s="47"/>
      <c r="FJ91" s="47"/>
      <c r="FK91" s="47"/>
      <c r="FL91" s="47"/>
      <c r="FM91" s="47"/>
      <c r="FN91" s="47"/>
      <c r="FO91" s="47"/>
      <c r="FP91" s="47"/>
      <c r="FQ91" s="47"/>
      <c r="FR91" s="47"/>
      <c r="FS91" s="47"/>
      <c r="FT91" s="47"/>
      <c r="FU91" s="47"/>
      <c r="FV91" s="47"/>
      <c r="FW91" s="47"/>
      <c r="FX91" s="47"/>
      <c r="FY91" s="47"/>
      <c r="FZ91" s="47"/>
      <c r="GA91" s="47"/>
      <c r="GB91" s="47"/>
      <c r="GC91" s="47"/>
      <c r="GD91" s="47"/>
      <c r="GE91" s="47"/>
      <c r="GF91" s="47"/>
      <c r="GH91" s="47"/>
      <c r="GJ91" s="47"/>
      <c r="GL91" s="47"/>
      <c r="GN91" s="47"/>
      <c r="GP91" s="47"/>
      <c r="GR91" s="47"/>
      <c r="GT91" s="47"/>
      <c r="GV91" s="47"/>
      <c r="GX91" s="47"/>
      <c r="GZ91" s="47"/>
      <c r="HB91" s="47"/>
      <c r="HD91" s="47"/>
      <c r="HF91" s="47"/>
      <c r="HH91" s="47"/>
      <c r="HJ91" s="47"/>
      <c r="HL91" s="47"/>
      <c r="HN91" s="47"/>
      <c r="HP91" s="47"/>
      <c r="HR91" s="47"/>
      <c r="HT91" s="47"/>
      <c r="HV91" s="47"/>
      <c r="HX91" s="47"/>
      <c r="HZ91" s="47"/>
      <c r="IB91" s="47"/>
      <c r="ID91" s="47"/>
      <c r="IF91" s="47"/>
      <c r="IH91" s="47"/>
      <c r="IJ91" s="47"/>
      <c r="IL91" s="47"/>
      <c r="IN91" s="47"/>
      <c r="IP91" s="47"/>
      <c r="IR91" s="47"/>
    </row>
    <row r="92" spans="2:252" ht="30" customHeight="1" x14ac:dyDescent="0.2">
      <c r="B92" s="48" t="s">
        <v>76</v>
      </c>
      <c r="C92" s="49" t="s">
        <v>60</v>
      </c>
      <c r="D92" s="50">
        <v>1</v>
      </c>
      <c r="E92" s="51">
        <f>F90</f>
        <v>46038</v>
      </c>
      <c r="F92" s="51">
        <f>F91</f>
        <v>46048</v>
      </c>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47"/>
      <c r="EJ92" s="47"/>
      <c r="EK92" s="47"/>
      <c r="EL92" s="47"/>
      <c r="EM92" s="47"/>
      <c r="EN92" s="47"/>
      <c r="EO92" s="47"/>
      <c r="EP92" s="47"/>
      <c r="EQ92" s="47"/>
      <c r="ER92" s="47"/>
      <c r="ES92" s="47"/>
      <c r="ET92" s="47"/>
      <c r="EU92" s="47"/>
      <c r="EV92" s="47"/>
      <c r="EW92" s="47"/>
      <c r="EX92" s="47"/>
      <c r="EY92" s="47"/>
      <c r="EZ92" s="47"/>
      <c r="FA92" s="47"/>
      <c r="FB92" s="47"/>
      <c r="FC92" s="47"/>
      <c r="FD92" s="47"/>
      <c r="FE92" s="47"/>
      <c r="FF92" s="47"/>
      <c r="FG92" s="47"/>
      <c r="FH92" s="47"/>
      <c r="FI92" s="47"/>
      <c r="FJ92" s="47"/>
      <c r="FK92" s="47"/>
      <c r="FL92" s="47"/>
      <c r="FM92" s="47"/>
      <c r="FN92" s="47"/>
      <c r="FO92" s="47"/>
      <c r="FP92" s="47"/>
      <c r="FQ92" s="47"/>
      <c r="FR92" s="47"/>
      <c r="FS92" s="47"/>
      <c r="FT92" s="47"/>
      <c r="FU92" s="47"/>
      <c r="FV92" s="47"/>
      <c r="FW92" s="47"/>
      <c r="FX92" s="47"/>
      <c r="FY92" s="47"/>
      <c r="FZ92" s="47"/>
      <c r="GA92" s="47"/>
      <c r="GB92" s="47"/>
      <c r="GC92" s="47"/>
      <c r="GD92" s="47"/>
      <c r="GE92" s="47"/>
      <c r="GF92" s="47"/>
      <c r="GH92" s="47"/>
      <c r="GJ92" s="47"/>
      <c r="GL92" s="47"/>
      <c r="GN92" s="47"/>
      <c r="GP92" s="47"/>
      <c r="GR92" s="47"/>
      <c r="GT92" s="47"/>
      <c r="GV92" s="47"/>
      <c r="GX92" s="47"/>
      <c r="GZ92" s="47"/>
      <c r="HB92" s="47"/>
      <c r="HD92" s="47"/>
      <c r="HF92" s="47"/>
      <c r="HH92" s="47"/>
      <c r="HJ92" s="47"/>
      <c r="HL92" s="47"/>
      <c r="HN92" s="47"/>
      <c r="HP92" s="47"/>
      <c r="HR92" s="47"/>
      <c r="HT92" s="47"/>
      <c r="HV92" s="47"/>
      <c r="HX92" s="47"/>
      <c r="HZ92" s="47"/>
      <c r="IB92" s="47"/>
      <c r="ID92" s="47"/>
      <c r="IF92" s="47"/>
      <c r="IH92" s="47"/>
      <c r="IJ92" s="47"/>
      <c r="IL92" s="47"/>
      <c r="IN92" s="47"/>
      <c r="IP92" s="47"/>
      <c r="IR92" s="47"/>
    </row>
    <row r="93" spans="2:252" ht="30" customHeight="1" x14ac:dyDescent="0.2">
      <c r="B93" s="48" t="s">
        <v>77</v>
      </c>
      <c r="C93" s="49" t="s">
        <v>60</v>
      </c>
      <c r="D93" s="50">
        <v>1</v>
      </c>
      <c r="E93" s="51">
        <f>F92</f>
        <v>46048</v>
      </c>
      <c r="F93" s="51">
        <f>E93</f>
        <v>46048</v>
      </c>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H93" s="47"/>
      <c r="GJ93" s="47"/>
      <c r="GL93" s="47"/>
      <c r="GN93" s="47"/>
      <c r="GP93" s="47"/>
      <c r="GR93" s="47"/>
      <c r="GT93" s="47"/>
      <c r="GV93" s="47"/>
      <c r="GX93" s="47"/>
      <c r="GZ93" s="47"/>
      <c r="HB93" s="47"/>
      <c r="HD93" s="47"/>
      <c r="HF93" s="47"/>
      <c r="HH93" s="47"/>
      <c r="HJ93" s="47"/>
      <c r="HL93" s="47"/>
      <c r="HN93" s="47"/>
      <c r="HP93" s="47"/>
      <c r="HR93" s="47"/>
      <c r="HT93" s="47"/>
      <c r="HV93" s="47"/>
      <c r="HX93" s="47"/>
      <c r="HZ93" s="47"/>
      <c r="IB93" s="47"/>
      <c r="ID93" s="47"/>
      <c r="IF93" s="47"/>
      <c r="IH93" s="47"/>
      <c r="IJ93" s="47"/>
      <c r="IL93" s="47"/>
      <c r="IN93" s="47"/>
      <c r="IP93" s="47"/>
      <c r="IR93" s="47"/>
    </row>
    <row r="94" spans="2:252" ht="30" customHeight="1" x14ac:dyDescent="0.2">
      <c r="B94" s="48" t="s">
        <v>78</v>
      </c>
      <c r="C94" s="49" t="s">
        <v>60</v>
      </c>
      <c r="D94" s="50">
        <v>1</v>
      </c>
      <c r="E94" s="51">
        <f>E93</f>
        <v>46048</v>
      </c>
      <c r="F94" s="51">
        <f>E94</f>
        <v>46048</v>
      </c>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47"/>
      <c r="EJ94" s="47"/>
      <c r="EK94" s="47"/>
      <c r="EL94" s="47"/>
      <c r="EM94" s="47"/>
      <c r="EN94" s="47"/>
      <c r="EO94" s="47"/>
      <c r="EP94" s="47"/>
      <c r="EQ94" s="47"/>
      <c r="ER94" s="47"/>
      <c r="ES94" s="47"/>
      <c r="ET94" s="47"/>
      <c r="EU94" s="47"/>
      <c r="EV94" s="47"/>
      <c r="EW94" s="47"/>
      <c r="EX94" s="47"/>
      <c r="EY94" s="47"/>
      <c r="EZ94" s="47"/>
      <c r="FA94" s="47"/>
      <c r="FB94" s="47"/>
      <c r="FC94" s="47"/>
      <c r="FD94" s="47"/>
      <c r="FE94" s="47"/>
      <c r="FF94" s="47"/>
      <c r="FG94" s="47"/>
      <c r="FH94" s="47"/>
      <c r="FI94" s="47"/>
      <c r="FJ94" s="47"/>
      <c r="FK94" s="47"/>
      <c r="FL94" s="47"/>
      <c r="FM94" s="47"/>
      <c r="FN94" s="47"/>
      <c r="FO94" s="47"/>
      <c r="FP94" s="47"/>
      <c r="FQ94" s="47"/>
      <c r="FR94" s="47"/>
      <c r="FS94" s="47"/>
      <c r="FT94" s="47"/>
      <c r="FU94" s="47"/>
      <c r="FV94" s="47"/>
      <c r="FW94" s="47"/>
      <c r="FX94" s="47"/>
      <c r="FY94" s="47"/>
      <c r="FZ94" s="47"/>
      <c r="GA94" s="47"/>
      <c r="GB94" s="47"/>
      <c r="GC94" s="47"/>
      <c r="GD94" s="47"/>
      <c r="GE94" s="47"/>
      <c r="GF94" s="47"/>
      <c r="GH94" s="47"/>
      <c r="GJ94" s="47"/>
      <c r="GL94" s="47"/>
      <c r="GN94" s="47"/>
      <c r="GP94" s="47"/>
      <c r="GR94" s="47"/>
      <c r="GT94" s="47"/>
      <c r="GV94" s="47"/>
      <c r="GX94" s="47"/>
      <c r="GZ94" s="47"/>
      <c r="HB94" s="47"/>
      <c r="HD94" s="47"/>
      <c r="HF94" s="47"/>
      <c r="HH94" s="47"/>
      <c r="HJ94" s="47"/>
      <c r="HL94" s="47"/>
      <c r="HN94" s="47"/>
      <c r="HP94" s="47"/>
      <c r="HR94" s="47"/>
      <c r="HT94" s="47"/>
      <c r="HV94" s="47"/>
      <c r="HX94" s="47"/>
      <c r="HZ94" s="47"/>
      <c r="IB94" s="47"/>
      <c r="ID94" s="47"/>
      <c r="IF94" s="47"/>
      <c r="IH94" s="47"/>
      <c r="IJ94" s="47"/>
      <c r="IL94" s="47"/>
      <c r="IN94" s="47"/>
      <c r="IP94" s="47"/>
      <c r="IR94" s="47"/>
    </row>
    <row r="95" spans="2:252" ht="30" customHeight="1" x14ac:dyDescent="0.2">
      <c r="B95" s="48" t="s">
        <v>79</v>
      </c>
      <c r="C95" s="49" t="s">
        <v>60</v>
      </c>
      <c r="D95" s="50">
        <v>1</v>
      </c>
      <c r="E95" s="51">
        <v>46057</v>
      </c>
      <c r="F95" s="51">
        <v>46061</v>
      </c>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47"/>
      <c r="EJ95" s="47"/>
      <c r="EK95" s="47"/>
      <c r="EL95" s="47"/>
      <c r="EM95" s="47"/>
      <c r="EN95" s="47"/>
      <c r="EO95" s="47"/>
      <c r="EP95" s="47"/>
      <c r="EQ95" s="47"/>
      <c r="ER95" s="47"/>
      <c r="ES95" s="47"/>
      <c r="ET95" s="47"/>
      <c r="EU95" s="47"/>
      <c r="EV95" s="47"/>
      <c r="EW95" s="47"/>
      <c r="EX95" s="47"/>
      <c r="EY95" s="47"/>
      <c r="EZ95" s="47"/>
      <c r="FA95" s="47"/>
      <c r="FB95" s="47"/>
      <c r="FC95" s="47"/>
      <c r="FD95" s="47"/>
      <c r="FE95" s="47"/>
      <c r="FF95" s="47"/>
      <c r="FG95" s="47"/>
      <c r="FH95" s="47"/>
      <c r="FI95" s="47"/>
      <c r="FJ95" s="47"/>
      <c r="FK95" s="47"/>
      <c r="FL95" s="47"/>
      <c r="FM95" s="47"/>
      <c r="FN95" s="47"/>
      <c r="FO95" s="47"/>
      <c r="FP95" s="47"/>
      <c r="FQ95" s="47"/>
      <c r="FR95" s="47"/>
      <c r="FS95" s="47"/>
      <c r="FT95" s="47"/>
      <c r="FU95" s="47"/>
      <c r="FV95" s="47"/>
      <c r="FW95" s="47"/>
      <c r="FX95" s="47"/>
      <c r="FY95" s="47"/>
      <c r="FZ95" s="47"/>
      <c r="GA95" s="47"/>
      <c r="GB95" s="47"/>
      <c r="GC95" s="47"/>
      <c r="GD95" s="47"/>
      <c r="GE95" s="47"/>
      <c r="GF95" s="47"/>
      <c r="GH95" s="47"/>
      <c r="GJ95" s="47"/>
      <c r="GL95" s="47"/>
      <c r="GN95" s="47"/>
      <c r="GP95" s="47"/>
      <c r="GR95" s="47"/>
      <c r="GT95" s="47"/>
      <c r="GV95" s="47"/>
      <c r="GX95" s="47"/>
      <c r="GZ95" s="47"/>
      <c r="HB95" s="47"/>
      <c r="HD95" s="47"/>
      <c r="HF95" s="47"/>
      <c r="HH95" s="47"/>
      <c r="HJ95" s="47"/>
      <c r="HL95" s="47"/>
      <c r="HN95" s="47"/>
      <c r="HP95" s="47"/>
      <c r="HR95" s="47"/>
      <c r="HT95" s="47"/>
      <c r="HV95" s="47"/>
      <c r="HX95" s="47"/>
      <c r="HZ95" s="47"/>
      <c r="IB95" s="47"/>
      <c r="ID95" s="47"/>
      <c r="IF95" s="47"/>
      <c r="IH95" s="47"/>
      <c r="IJ95" s="47"/>
      <c r="IL95" s="47"/>
      <c r="IN95" s="47"/>
      <c r="IP95" s="47"/>
      <c r="IR95" s="47"/>
    </row>
    <row r="96" spans="2:252" ht="30" customHeight="1" x14ac:dyDescent="0.2">
      <c r="B96" s="48" t="s">
        <v>80</v>
      </c>
      <c r="C96" s="49" t="s">
        <v>60</v>
      </c>
      <c r="D96" s="50">
        <v>1</v>
      </c>
      <c r="E96" s="51">
        <v>46058</v>
      </c>
      <c r="F96" s="51">
        <v>46062</v>
      </c>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47"/>
      <c r="EJ96" s="47"/>
      <c r="EK96" s="47"/>
      <c r="EL96" s="47"/>
      <c r="EM96" s="47"/>
      <c r="EN96" s="47"/>
      <c r="EO96" s="47"/>
      <c r="EP96" s="47"/>
      <c r="EQ96" s="47"/>
      <c r="ER96" s="47"/>
      <c r="ES96" s="47"/>
      <c r="ET96" s="47"/>
      <c r="EU96" s="47"/>
      <c r="EV96" s="47"/>
      <c r="EW96" s="47"/>
      <c r="EX96" s="47"/>
      <c r="EY96" s="47"/>
      <c r="EZ96" s="47"/>
      <c r="FA96" s="47"/>
      <c r="FB96" s="47"/>
      <c r="FC96" s="47"/>
      <c r="FD96" s="47"/>
      <c r="FE96" s="47"/>
      <c r="FF96" s="47"/>
      <c r="FG96" s="47"/>
      <c r="FH96" s="47"/>
      <c r="FI96" s="47"/>
      <c r="FJ96" s="47"/>
      <c r="FK96" s="47"/>
      <c r="FL96" s="47"/>
      <c r="FM96" s="47"/>
      <c r="FN96" s="47"/>
      <c r="FO96" s="47"/>
      <c r="FP96" s="47"/>
      <c r="FQ96" s="47"/>
      <c r="FR96" s="47"/>
      <c r="FS96" s="47"/>
      <c r="FT96" s="47"/>
      <c r="FU96" s="47"/>
      <c r="FV96" s="47"/>
      <c r="FW96" s="47"/>
      <c r="FX96" s="47"/>
      <c r="FY96" s="47"/>
      <c r="FZ96" s="47"/>
      <c r="GA96" s="47"/>
      <c r="GB96" s="47"/>
      <c r="GC96" s="47"/>
      <c r="GD96" s="47"/>
      <c r="GE96" s="47"/>
      <c r="GF96" s="47"/>
      <c r="GH96" s="47"/>
      <c r="GJ96" s="47"/>
      <c r="GL96" s="47"/>
      <c r="GN96" s="47"/>
      <c r="GP96" s="47"/>
      <c r="GR96" s="47"/>
      <c r="GT96" s="47"/>
      <c r="GV96" s="47"/>
      <c r="GX96" s="47"/>
      <c r="GZ96" s="47"/>
      <c r="HB96" s="47"/>
      <c r="HD96" s="47"/>
      <c r="HF96" s="47"/>
      <c r="HH96" s="47"/>
      <c r="HJ96" s="47"/>
      <c r="HL96" s="47"/>
      <c r="HN96" s="47"/>
      <c r="HP96" s="47"/>
      <c r="HR96" s="47"/>
      <c r="HT96" s="47"/>
      <c r="HV96" s="47"/>
      <c r="HX96" s="47"/>
      <c r="HZ96" s="47"/>
      <c r="IB96" s="47"/>
      <c r="ID96" s="47"/>
      <c r="IF96" s="47"/>
      <c r="IH96" s="47"/>
      <c r="IJ96" s="47"/>
      <c r="IL96" s="47"/>
      <c r="IN96" s="47"/>
      <c r="IP96" s="47"/>
      <c r="IR96" s="47"/>
    </row>
    <row r="97" spans="2:252" ht="30" customHeight="1" x14ac:dyDescent="0.2">
      <c r="B97" s="48"/>
      <c r="C97" s="49"/>
      <c r="D97" s="50"/>
      <c r="E97" s="51"/>
      <c r="F97" s="51"/>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47"/>
      <c r="EJ97" s="47"/>
      <c r="EK97" s="47"/>
      <c r="EL97" s="47"/>
      <c r="EM97" s="47"/>
      <c r="EN97" s="47"/>
      <c r="EO97" s="47"/>
      <c r="EP97" s="47"/>
      <c r="EQ97" s="47"/>
      <c r="ER97" s="47"/>
      <c r="ES97" s="47"/>
      <c r="ET97" s="47"/>
      <c r="EU97" s="47"/>
      <c r="EV97" s="47"/>
      <c r="EW97" s="47"/>
      <c r="EX97" s="47"/>
      <c r="EY97" s="47"/>
      <c r="EZ97" s="47"/>
      <c r="FA97" s="47"/>
      <c r="FB97" s="47"/>
      <c r="FC97" s="47"/>
      <c r="FD97" s="47"/>
      <c r="FE97" s="47"/>
      <c r="FF97" s="47"/>
      <c r="FG97" s="47"/>
      <c r="FH97" s="47"/>
      <c r="FI97" s="47"/>
      <c r="FJ97" s="47"/>
      <c r="FK97" s="47"/>
      <c r="FL97" s="47"/>
      <c r="FM97" s="47"/>
      <c r="FN97" s="47"/>
      <c r="FO97" s="47"/>
      <c r="FP97" s="47"/>
      <c r="FQ97" s="47"/>
      <c r="FR97" s="47"/>
      <c r="FS97" s="47"/>
      <c r="FT97" s="47"/>
      <c r="FU97" s="47"/>
      <c r="FV97" s="47"/>
      <c r="FW97" s="47"/>
      <c r="FX97" s="47"/>
      <c r="FY97" s="47"/>
      <c r="FZ97" s="47"/>
      <c r="GA97" s="47"/>
      <c r="GB97" s="47"/>
      <c r="GC97" s="47"/>
      <c r="GD97" s="47"/>
      <c r="GE97" s="47"/>
      <c r="GF97" s="47"/>
      <c r="GH97" s="47"/>
      <c r="GJ97" s="47"/>
      <c r="GL97" s="47"/>
      <c r="GN97" s="47"/>
      <c r="GP97" s="47"/>
      <c r="GR97" s="47"/>
      <c r="GT97" s="47"/>
      <c r="GV97" s="47"/>
      <c r="GX97" s="47"/>
      <c r="GZ97" s="47"/>
      <c r="HB97" s="47"/>
      <c r="HD97" s="47"/>
      <c r="HF97" s="47"/>
      <c r="HH97" s="47"/>
      <c r="HJ97" s="47"/>
      <c r="HL97" s="47"/>
      <c r="HN97" s="47"/>
      <c r="HP97" s="47"/>
      <c r="HR97" s="47"/>
      <c r="HT97" s="47"/>
      <c r="HV97" s="47"/>
      <c r="HX97" s="47"/>
      <c r="HZ97" s="47"/>
      <c r="IB97" s="47"/>
      <c r="ID97" s="47"/>
      <c r="IF97" s="47"/>
      <c r="IH97" s="47"/>
      <c r="IJ97" s="47"/>
      <c r="IL97" s="47"/>
      <c r="IN97" s="47"/>
      <c r="IP97" s="47"/>
      <c r="IR97" s="47"/>
    </row>
    <row r="98" spans="2:252" ht="30" customHeight="1" x14ac:dyDescent="0.2">
      <c r="B98" s="48" t="s">
        <v>81</v>
      </c>
      <c r="C98" s="49" t="s">
        <v>60</v>
      </c>
      <c r="D98" s="50">
        <v>1</v>
      </c>
      <c r="E98" s="51">
        <v>46048</v>
      </c>
      <c r="F98" s="51">
        <v>46059</v>
      </c>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47"/>
      <c r="EJ98" s="47"/>
      <c r="EK98" s="47"/>
      <c r="EL98" s="47"/>
      <c r="EM98" s="47"/>
      <c r="EN98" s="47"/>
      <c r="EO98" s="47"/>
      <c r="EP98" s="47"/>
      <c r="EQ98" s="47"/>
      <c r="ER98" s="47"/>
      <c r="ES98" s="47"/>
      <c r="ET98" s="47"/>
      <c r="EU98" s="47"/>
      <c r="EV98" s="47"/>
      <c r="EW98" s="47"/>
      <c r="EX98" s="47"/>
      <c r="EY98" s="47"/>
      <c r="EZ98" s="47"/>
      <c r="FA98" s="47"/>
      <c r="FB98" s="47"/>
      <c r="FC98" s="47"/>
      <c r="FD98" s="47"/>
      <c r="FE98" s="47"/>
      <c r="FF98" s="47"/>
      <c r="FG98" s="47"/>
      <c r="FH98" s="47"/>
      <c r="FI98" s="47"/>
      <c r="FJ98" s="47"/>
      <c r="FK98" s="47"/>
      <c r="FL98" s="47"/>
      <c r="FM98" s="47"/>
      <c r="FN98" s="47"/>
      <c r="FO98" s="47"/>
      <c r="FP98" s="47"/>
      <c r="FQ98" s="47"/>
      <c r="FR98" s="47"/>
      <c r="FS98" s="47"/>
      <c r="FT98" s="47"/>
      <c r="FU98" s="47"/>
      <c r="FV98" s="47"/>
      <c r="FW98" s="47"/>
      <c r="FX98" s="47"/>
      <c r="FY98" s="47"/>
      <c r="FZ98" s="47"/>
      <c r="GA98" s="47"/>
      <c r="GB98" s="47"/>
      <c r="GC98" s="47"/>
      <c r="GD98" s="47"/>
      <c r="GE98" s="47"/>
      <c r="GF98" s="47"/>
      <c r="GH98" s="47"/>
      <c r="GJ98" s="47"/>
      <c r="GL98" s="47"/>
      <c r="GN98" s="47"/>
      <c r="GP98" s="47"/>
      <c r="GR98" s="47"/>
      <c r="GT98" s="47"/>
      <c r="GV98" s="47"/>
      <c r="GX98" s="47"/>
      <c r="GZ98" s="47"/>
      <c r="HB98" s="47"/>
      <c r="HD98" s="47"/>
      <c r="HF98" s="47"/>
      <c r="HH98" s="47"/>
      <c r="HJ98" s="47"/>
      <c r="HL98" s="47"/>
      <c r="HN98" s="47"/>
      <c r="HP98" s="47"/>
      <c r="HR98" s="47"/>
      <c r="HT98" s="47"/>
      <c r="HV98" s="47"/>
      <c r="HX98" s="47"/>
      <c r="HZ98" s="47"/>
      <c r="IB98" s="47"/>
      <c r="ID98" s="47"/>
      <c r="IF98" s="47"/>
      <c r="IH98" s="47"/>
      <c r="IJ98" s="47"/>
      <c r="IL98" s="47"/>
      <c r="IN98" s="47"/>
      <c r="IP98" s="47"/>
      <c r="IR98" s="47"/>
    </row>
    <row r="99" spans="2:252" ht="30" customHeight="1" x14ac:dyDescent="0.2">
      <c r="B99" s="48" t="s">
        <v>39</v>
      </c>
      <c r="C99" s="49" t="s">
        <v>82</v>
      </c>
      <c r="D99" s="50">
        <v>1</v>
      </c>
      <c r="E99" s="51">
        <f>E100</f>
        <v>46061</v>
      </c>
      <c r="F99" s="51">
        <f>E99</f>
        <v>46061</v>
      </c>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47"/>
      <c r="EJ99" s="47"/>
      <c r="EK99" s="47"/>
      <c r="EL99" s="47"/>
      <c r="EM99" s="47"/>
      <c r="EN99" s="47"/>
      <c r="EO99" s="47"/>
      <c r="EP99" s="47"/>
      <c r="EQ99" s="47"/>
      <c r="ER99" s="47"/>
      <c r="ES99" s="47"/>
      <c r="ET99" s="47"/>
      <c r="EU99" s="47"/>
      <c r="EV99" s="47"/>
      <c r="EW99" s="47"/>
      <c r="EX99" s="47"/>
      <c r="EY99" s="47"/>
      <c r="EZ99" s="47"/>
      <c r="FA99" s="47"/>
      <c r="FB99" s="47"/>
      <c r="FC99" s="47"/>
      <c r="FD99" s="47"/>
      <c r="FE99" s="47"/>
      <c r="FF99" s="47"/>
      <c r="FG99" s="47"/>
      <c r="FH99" s="47"/>
      <c r="FI99" s="47"/>
      <c r="FJ99" s="47"/>
      <c r="FK99" s="47"/>
      <c r="FL99" s="47"/>
      <c r="FM99" s="47"/>
      <c r="FN99" s="47"/>
      <c r="FO99" s="47"/>
      <c r="FP99" s="47"/>
      <c r="FQ99" s="47"/>
      <c r="FR99" s="47"/>
      <c r="FS99" s="47"/>
      <c r="FT99" s="47"/>
      <c r="FU99" s="47"/>
      <c r="FV99" s="47"/>
      <c r="FW99" s="47"/>
      <c r="FX99" s="47"/>
      <c r="FY99" s="47"/>
      <c r="FZ99" s="47"/>
      <c r="GA99" s="47"/>
      <c r="GB99" s="47"/>
      <c r="GC99" s="47"/>
      <c r="GD99" s="47"/>
      <c r="GE99" s="47"/>
      <c r="GF99" s="47"/>
      <c r="GH99" s="47"/>
      <c r="GJ99" s="47"/>
      <c r="GL99" s="47"/>
      <c r="GN99" s="47"/>
      <c r="GP99" s="47"/>
      <c r="GR99" s="47"/>
      <c r="GT99" s="47"/>
      <c r="GV99" s="47"/>
      <c r="GX99" s="47"/>
      <c r="GZ99" s="47"/>
      <c r="HB99" s="47"/>
      <c r="HD99" s="47"/>
      <c r="HF99" s="47"/>
      <c r="HH99" s="47"/>
      <c r="HJ99" s="47"/>
      <c r="HL99" s="47"/>
      <c r="HN99" s="47"/>
      <c r="HP99" s="47"/>
      <c r="HR99" s="47"/>
      <c r="HT99" s="47"/>
      <c r="HV99" s="47"/>
      <c r="HX99" s="47"/>
      <c r="HZ99" s="47"/>
      <c r="IB99" s="47"/>
      <c r="ID99" s="47"/>
      <c r="IF99" s="47"/>
      <c r="IH99" s="47"/>
      <c r="IJ99" s="47"/>
      <c r="IL99" s="47"/>
      <c r="IN99" s="47"/>
      <c r="IP99" s="47"/>
      <c r="IR99" s="47"/>
    </row>
    <row r="100" spans="2:252" ht="30" customHeight="1" x14ac:dyDescent="0.2">
      <c r="B100" s="48" t="s">
        <v>37</v>
      </c>
      <c r="C100" s="49" t="s">
        <v>60</v>
      </c>
      <c r="D100" s="50">
        <v>1</v>
      </c>
      <c r="E100" s="51">
        <v>46061</v>
      </c>
      <c r="F100" s="51">
        <f>E100</f>
        <v>46061</v>
      </c>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47"/>
      <c r="EJ100" s="47"/>
      <c r="EK100" s="47"/>
      <c r="EL100" s="47"/>
      <c r="EM100" s="47"/>
      <c r="EN100" s="47"/>
      <c r="EO100" s="47"/>
      <c r="EP100" s="47"/>
      <c r="EQ100" s="47"/>
      <c r="ER100" s="47"/>
      <c r="ES100" s="47"/>
      <c r="ET100" s="47"/>
      <c r="EU100" s="47"/>
      <c r="EV100" s="47"/>
      <c r="EW100" s="47"/>
      <c r="EX100" s="47"/>
      <c r="EY100" s="47"/>
      <c r="EZ100" s="47"/>
      <c r="FA100" s="47"/>
      <c r="FB100" s="47"/>
      <c r="FC100" s="47"/>
      <c r="FD100" s="47"/>
      <c r="FE100" s="47"/>
      <c r="FF100" s="47"/>
      <c r="FG100" s="47"/>
      <c r="FH100" s="47"/>
      <c r="FI100" s="47"/>
      <c r="FJ100" s="47"/>
      <c r="FK100" s="47"/>
      <c r="FL100" s="47"/>
      <c r="FM100" s="47"/>
      <c r="FN100" s="47"/>
      <c r="FO100" s="47"/>
      <c r="FP100" s="47"/>
      <c r="FQ100" s="47"/>
      <c r="FR100" s="47"/>
      <c r="FS100" s="47"/>
      <c r="FT100" s="47"/>
      <c r="FU100" s="47"/>
      <c r="FV100" s="47"/>
      <c r="FW100" s="47"/>
      <c r="FX100" s="47"/>
      <c r="FY100" s="47"/>
      <c r="FZ100" s="47"/>
      <c r="GA100" s="47"/>
      <c r="GB100" s="47"/>
      <c r="GC100" s="47"/>
      <c r="GD100" s="47"/>
      <c r="GE100" s="47"/>
      <c r="GF100" s="47"/>
      <c r="GH100" s="47"/>
      <c r="GJ100" s="47"/>
      <c r="GL100" s="47"/>
      <c r="GN100" s="47"/>
      <c r="GP100" s="47"/>
      <c r="GR100" s="47"/>
      <c r="GT100" s="47"/>
      <c r="GV100" s="47"/>
      <c r="GX100" s="47"/>
      <c r="GZ100" s="47"/>
      <c r="HB100" s="47"/>
      <c r="HD100" s="47"/>
      <c r="HF100" s="47"/>
      <c r="HH100" s="47"/>
      <c r="HJ100" s="47"/>
      <c r="HL100" s="47"/>
      <c r="HN100" s="47"/>
      <c r="HP100" s="47"/>
      <c r="HR100" s="47"/>
      <c r="HT100" s="47"/>
      <c r="HV100" s="47"/>
      <c r="HX100" s="47"/>
      <c r="HZ100" s="47"/>
      <c r="IB100" s="47"/>
      <c r="ID100" s="47"/>
      <c r="IF100" s="47"/>
      <c r="IH100" s="47"/>
      <c r="IJ100" s="47"/>
      <c r="IL100" s="47"/>
      <c r="IN100" s="47"/>
      <c r="IP100" s="47"/>
      <c r="IR100" s="47"/>
    </row>
    <row r="101" spans="2:252" ht="30" customHeight="1" x14ac:dyDescent="0.2">
      <c r="B101" s="48" t="s">
        <v>38</v>
      </c>
      <c r="C101" s="49" t="s">
        <v>60</v>
      </c>
      <c r="D101" s="50">
        <v>1</v>
      </c>
      <c r="E101" s="51">
        <f>E100</f>
        <v>46061</v>
      </c>
      <c r="F101" s="51">
        <f>F100</f>
        <v>46061</v>
      </c>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47"/>
      <c r="EJ101" s="47"/>
      <c r="EK101" s="47"/>
      <c r="EL101" s="47"/>
      <c r="EM101" s="47"/>
      <c r="EN101" s="47"/>
      <c r="EO101" s="47"/>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c r="FL101" s="47"/>
      <c r="FM101" s="47"/>
      <c r="FN101" s="47"/>
      <c r="FO101" s="47"/>
      <c r="FP101" s="47"/>
      <c r="FQ101" s="47"/>
      <c r="FR101" s="47"/>
      <c r="FS101" s="47"/>
      <c r="FT101" s="47"/>
      <c r="FU101" s="47"/>
      <c r="FV101" s="47"/>
      <c r="FW101" s="47"/>
      <c r="FX101" s="47"/>
      <c r="FY101" s="47"/>
      <c r="FZ101" s="47"/>
      <c r="GA101" s="47"/>
      <c r="GB101" s="47"/>
      <c r="GC101" s="47"/>
      <c r="GD101" s="47"/>
      <c r="GE101" s="47"/>
      <c r="GF101" s="47"/>
      <c r="GH101" s="47"/>
      <c r="GJ101" s="47"/>
      <c r="GL101" s="47"/>
      <c r="GN101" s="47"/>
      <c r="GP101" s="47"/>
      <c r="GR101" s="47"/>
      <c r="GT101" s="47"/>
      <c r="GV101" s="47"/>
      <c r="GX101" s="47"/>
      <c r="GZ101" s="47"/>
      <c r="HB101" s="47"/>
      <c r="HD101" s="47"/>
      <c r="HF101" s="47"/>
      <c r="HH101" s="47"/>
      <c r="HJ101" s="47"/>
      <c r="HL101" s="47"/>
      <c r="HN101" s="47"/>
      <c r="HP101" s="47"/>
      <c r="HR101" s="47"/>
      <c r="HT101" s="47"/>
      <c r="HV101" s="47"/>
      <c r="HX101" s="47"/>
      <c r="HZ101" s="47"/>
      <c r="IB101" s="47"/>
      <c r="ID101" s="47"/>
      <c r="IF101" s="47"/>
      <c r="IH101" s="47"/>
      <c r="IJ101" s="47"/>
      <c r="IL101" s="47"/>
      <c r="IN101" s="47"/>
      <c r="IP101" s="47"/>
      <c r="IR101" s="47"/>
    </row>
    <row r="102" spans="2:252" ht="30" customHeight="1" x14ac:dyDescent="0.2">
      <c r="B102" s="53" t="s">
        <v>40</v>
      </c>
      <c r="C102" s="54"/>
      <c r="D102" s="55"/>
      <c r="E102" s="56"/>
      <c r="F102" s="5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47"/>
      <c r="EJ102" s="47"/>
      <c r="EK102" s="47"/>
      <c r="EL102" s="47"/>
      <c r="EM102" s="47"/>
      <c r="EN102" s="47"/>
      <c r="EO102" s="47"/>
      <c r="EP102" s="47"/>
      <c r="EQ102" s="47"/>
      <c r="ER102" s="47"/>
      <c r="ES102" s="47"/>
      <c r="ET102" s="47"/>
      <c r="EU102" s="47"/>
      <c r="EV102" s="47"/>
      <c r="EW102" s="47"/>
      <c r="EX102" s="47"/>
      <c r="EY102" s="47"/>
      <c r="EZ102" s="47"/>
      <c r="FA102" s="47"/>
      <c r="FB102" s="47"/>
      <c r="FC102" s="47"/>
      <c r="FD102" s="47"/>
      <c r="FE102" s="47"/>
      <c r="FF102" s="47"/>
      <c r="FG102" s="47"/>
      <c r="FH102" s="47"/>
      <c r="FI102" s="47"/>
      <c r="FJ102" s="47"/>
      <c r="FK102" s="47"/>
      <c r="FL102" s="47"/>
      <c r="FM102" s="47"/>
      <c r="FN102" s="47"/>
      <c r="FO102" s="47"/>
      <c r="FP102" s="47"/>
      <c r="FQ102" s="47"/>
      <c r="FR102" s="47"/>
      <c r="FS102" s="47"/>
      <c r="FT102" s="47"/>
      <c r="FU102" s="47"/>
      <c r="FV102" s="47"/>
      <c r="FX102" s="47"/>
      <c r="FZ102" s="47"/>
      <c r="GB102" s="47"/>
      <c r="GD102" s="47"/>
      <c r="GF102" s="47"/>
      <c r="GH102" s="47"/>
      <c r="GJ102" s="47"/>
      <c r="GL102" s="47"/>
      <c r="GN102" s="47"/>
      <c r="GP102" s="47"/>
      <c r="GR102" s="47"/>
      <c r="GT102" s="47"/>
      <c r="GV102" s="47"/>
      <c r="GX102" s="47"/>
      <c r="GZ102" s="47"/>
      <c r="HB102" s="47"/>
      <c r="HD102" s="47"/>
      <c r="HF102" s="47"/>
      <c r="HH102" s="47"/>
      <c r="HJ102" s="47"/>
      <c r="HL102" s="47"/>
      <c r="HN102" s="47"/>
      <c r="HP102" s="47"/>
      <c r="HR102" s="47"/>
      <c r="HT102" s="47"/>
      <c r="HV102" s="47"/>
      <c r="HX102" s="47"/>
      <c r="HZ102" s="47"/>
      <c r="IB102" s="47"/>
      <c r="ID102" s="47"/>
      <c r="IF102" s="47"/>
      <c r="IH102" s="47"/>
      <c r="IJ102" s="47"/>
      <c r="IL102" s="47"/>
      <c r="IN102" s="47"/>
      <c r="IP102" s="47"/>
      <c r="IR102" s="47"/>
    </row>
    <row r="103" spans="2:252" ht="30" customHeight="1" x14ac:dyDescent="0.2">
      <c r="B103" s="58" t="s">
        <v>83</v>
      </c>
      <c r="C103" s="59" t="s">
        <v>60</v>
      </c>
      <c r="D103" s="50">
        <v>1</v>
      </c>
      <c r="E103" s="60">
        <v>46048</v>
      </c>
      <c r="F103" s="60">
        <f>E103+8</f>
        <v>46056</v>
      </c>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c r="FL103" s="47"/>
      <c r="FM103" s="47"/>
      <c r="FN103" s="47"/>
      <c r="FO103" s="47"/>
      <c r="FP103" s="47"/>
      <c r="FQ103" s="47"/>
      <c r="FR103" s="47"/>
      <c r="FS103" s="47"/>
      <c r="FT103" s="47"/>
      <c r="FU103" s="47"/>
      <c r="FV103" s="47"/>
      <c r="FX103" s="47"/>
      <c r="FZ103" s="47"/>
      <c r="GB103" s="47"/>
      <c r="GD103" s="47"/>
      <c r="GF103" s="47"/>
      <c r="GH103" s="47"/>
      <c r="GJ103" s="47"/>
      <c r="GL103" s="47"/>
      <c r="GN103" s="47"/>
      <c r="GP103" s="47"/>
      <c r="GR103" s="47"/>
      <c r="GT103" s="47"/>
      <c r="GV103" s="47"/>
      <c r="GX103" s="47"/>
      <c r="GZ103" s="47"/>
      <c r="HB103" s="47"/>
      <c r="HD103" s="47"/>
      <c r="HF103" s="47"/>
      <c r="HH103" s="47"/>
      <c r="HJ103" s="47"/>
      <c r="HL103" s="47"/>
      <c r="HN103" s="47"/>
      <c r="HP103" s="47"/>
      <c r="HR103" s="47"/>
      <c r="HT103" s="47"/>
      <c r="HV103" s="47"/>
      <c r="HX103" s="47"/>
      <c r="HZ103" s="47"/>
      <c r="IB103" s="47"/>
      <c r="ID103" s="47"/>
      <c r="IF103" s="47"/>
      <c r="IH103" s="47"/>
      <c r="IJ103" s="47"/>
      <c r="IL103" s="47"/>
      <c r="IN103" s="47"/>
      <c r="IP103" s="47"/>
      <c r="IR103" s="47"/>
    </row>
    <row r="104" spans="2:252" ht="30" customHeight="1" x14ac:dyDescent="0.2">
      <c r="B104" s="58" t="s">
        <v>84</v>
      </c>
      <c r="C104" s="59" t="s">
        <v>60</v>
      </c>
      <c r="D104" s="50">
        <v>1</v>
      </c>
      <c r="E104" s="60">
        <v>46049</v>
      </c>
      <c r="F104" s="60">
        <f>E104+8</f>
        <v>46057</v>
      </c>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47"/>
      <c r="EJ104" s="47"/>
      <c r="EK104" s="47"/>
      <c r="EL104" s="47"/>
      <c r="EM104" s="47"/>
      <c r="EN104" s="47"/>
      <c r="EO104" s="47"/>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c r="FL104" s="47"/>
      <c r="FM104" s="47"/>
      <c r="FN104" s="47"/>
      <c r="FO104" s="47"/>
      <c r="FP104" s="47"/>
      <c r="FQ104" s="47"/>
      <c r="FR104" s="47"/>
      <c r="FS104" s="47"/>
      <c r="FT104" s="47"/>
      <c r="FU104" s="47"/>
      <c r="FV104" s="47"/>
      <c r="FX104" s="47"/>
      <c r="FZ104" s="47"/>
      <c r="GB104" s="47"/>
      <c r="GD104" s="47"/>
      <c r="GF104" s="47"/>
      <c r="GH104" s="47"/>
      <c r="GJ104" s="47"/>
      <c r="GL104" s="47"/>
      <c r="GN104" s="47"/>
      <c r="GP104" s="47"/>
      <c r="GR104" s="47"/>
      <c r="GT104" s="47"/>
      <c r="GV104" s="47"/>
      <c r="GX104" s="47"/>
      <c r="GZ104" s="47"/>
      <c r="HB104" s="47"/>
      <c r="HD104" s="47"/>
      <c r="HF104" s="47"/>
      <c r="HH104" s="47"/>
      <c r="HJ104" s="47"/>
      <c r="HL104" s="47"/>
      <c r="HN104" s="47"/>
      <c r="HP104" s="47"/>
      <c r="HR104" s="47"/>
      <c r="HT104" s="47"/>
      <c r="HV104" s="47"/>
      <c r="HX104" s="47"/>
      <c r="HZ104" s="47"/>
      <c r="IB104" s="47"/>
      <c r="ID104" s="47"/>
      <c r="IF104" s="47"/>
      <c r="IH104" s="47"/>
      <c r="IJ104" s="47"/>
      <c r="IL104" s="47"/>
      <c r="IN104" s="47"/>
      <c r="IP104" s="47"/>
      <c r="IR104" s="47"/>
    </row>
    <row r="105" spans="2:252" ht="30" customHeight="1" x14ac:dyDescent="0.2">
      <c r="B105" s="58" t="s">
        <v>85</v>
      </c>
      <c r="C105" s="59" t="s">
        <v>60</v>
      </c>
      <c r="D105" s="50">
        <v>1</v>
      </c>
      <c r="E105" s="60">
        <f>E124</f>
        <v>46048</v>
      </c>
      <c r="F105" s="60">
        <f>E105+8</f>
        <v>46056</v>
      </c>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c r="FX105" s="47"/>
      <c r="FZ105" s="47"/>
      <c r="GB105" s="47"/>
      <c r="GD105" s="47"/>
      <c r="GF105" s="47"/>
      <c r="GH105" s="47"/>
      <c r="GJ105" s="47"/>
      <c r="GL105" s="47"/>
      <c r="GN105" s="47"/>
      <c r="GP105" s="47"/>
      <c r="GR105" s="47"/>
      <c r="GT105" s="47"/>
      <c r="GV105" s="47"/>
      <c r="GX105" s="47"/>
      <c r="GZ105" s="47"/>
      <c r="HB105" s="47"/>
      <c r="HD105" s="47"/>
      <c r="HF105" s="47"/>
      <c r="HH105" s="47"/>
      <c r="HJ105" s="47"/>
      <c r="HL105" s="47"/>
      <c r="HN105" s="47"/>
      <c r="HP105" s="47"/>
      <c r="HR105" s="47"/>
      <c r="HT105" s="47"/>
      <c r="HV105" s="47"/>
      <c r="HX105" s="47"/>
      <c r="HZ105" s="47"/>
      <c r="IB105" s="47"/>
      <c r="ID105" s="47"/>
      <c r="IF105" s="47"/>
      <c r="IH105" s="47"/>
      <c r="IJ105" s="47"/>
      <c r="IL105" s="47"/>
      <c r="IN105" s="47"/>
      <c r="IP105" s="47"/>
      <c r="IR105" s="47"/>
    </row>
    <row r="106" spans="2:252" ht="30" customHeight="1" x14ac:dyDescent="0.2">
      <c r="B106" s="58" t="s">
        <v>86</v>
      </c>
      <c r="C106" s="59" t="s">
        <v>60</v>
      </c>
      <c r="D106" s="50">
        <v>1</v>
      </c>
      <c r="E106" s="60" t="s">
        <v>87</v>
      </c>
      <c r="F106" s="60">
        <v>46058</v>
      </c>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47"/>
      <c r="EJ106" s="47"/>
      <c r="EK106" s="47"/>
      <c r="EL106" s="47"/>
      <c r="EM106" s="47"/>
      <c r="EN106" s="47"/>
      <c r="EO106" s="47"/>
      <c r="EP106" s="47"/>
      <c r="EQ106" s="47"/>
      <c r="ER106" s="47"/>
      <c r="ES106" s="47"/>
      <c r="ET106" s="47"/>
      <c r="EU106" s="47"/>
      <c r="EV106" s="47"/>
      <c r="EW106" s="47"/>
      <c r="EX106" s="47"/>
      <c r="EY106" s="47"/>
      <c r="EZ106" s="47"/>
      <c r="FA106" s="47"/>
      <c r="FB106" s="47"/>
      <c r="FC106" s="47"/>
      <c r="FD106" s="47"/>
      <c r="FE106" s="47"/>
      <c r="FF106" s="47"/>
      <c r="FG106" s="47"/>
      <c r="FH106" s="47"/>
      <c r="FI106" s="47"/>
      <c r="FJ106" s="47"/>
      <c r="FK106" s="47"/>
      <c r="FL106" s="47"/>
      <c r="FM106" s="47"/>
      <c r="FN106" s="47"/>
      <c r="FO106" s="47"/>
      <c r="FP106" s="47"/>
      <c r="FQ106" s="47"/>
      <c r="FR106" s="47"/>
      <c r="FS106" s="47"/>
      <c r="FT106" s="47"/>
      <c r="FU106" s="47"/>
      <c r="FV106" s="47"/>
      <c r="FX106" s="47"/>
      <c r="FZ106" s="47"/>
      <c r="GB106" s="47"/>
      <c r="GD106" s="47"/>
      <c r="GF106" s="47"/>
      <c r="GH106" s="47"/>
      <c r="GJ106" s="47"/>
      <c r="GL106" s="47"/>
      <c r="GN106" s="47"/>
      <c r="GP106" s="47"/>
      <c r="GR106" s="47"/>
      <c r="GT106" s="47"/>
      <c r="GV106" s="47"/>
      <c r="GX106" s="47"/>
      <c r="GZ106" s="47"/>
      <c r="HB106" s="47"/>
      <c r="HD106" s="47"/>
      <c r="HF106" s="47"/>
      <c r="HH106" s="47"/>
      <c r="HJ106" s="47"/>
      <c r="HL106" s="47"/>
      <c r="HN106" s="47"/>
      <c r="HP106" s="47"/>
      <c r="HR106" s="47"/>
      <c r="HT106" s="47"/>
      <c r="HV106" s="47"/>
      <c r="HX106" s="47"/>
      <c r="HZ106" s="47"/>
      <c r="IB106" s="47"/>
      <c r="ID106" s="47"/>
      <c r="IF106" s="47"/>
      <c r="IH106" s="47"/>
      <c r="IJ106" s="47"/>
      <c r="IL106" s="47"/>
      <c r="IN106" s="47"/>
      <c r="IP106" s="47"/>
      <c r="IR106" s="47"/>
    </row>
    <row r="107" spans="2:252" ht="30" customHeight="1" x14ac:dyDescent="0.2">
      <c r="B107" s="58" t="s">
        <v>88</v>
      </c>
      <c r="C107" s="59" t="s">
        <v>60</v>
      </c>
      <c r="D107" s="50">
        <v>1</v>
      </c>
      <c r="E107" s="60">
        <f>E125-3</f>
        <v>46049</v>
      </c>
      <c r="F107" s="60">
        <f>E107+9</f>
        <v>46058</v>
      </c>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47"/>
      <c r="EJ107" s="47"/>
      <c r="EK107" s="47"/>
      <c r="EL107" s="47"/>
      <c r="EM107" s="47"/>
      <c r="EN107" s="47"/>
      <c r="EO107" s="47"/>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c r="FL107" s="47"/>
      <c r="FM107" s="47"/>
      <c r="FN107" s="47"/>
      <c r="FO107" s="47"/>
      <c r="FP107" s="47"/>
      <c r="FQ107" s="47"/>
      <c r="FR107" s="47"/>
      <c r="FS107" s="47"/>
      <c r="FT107" s="47"/>
      <c r="FU107" s="47"/>
      <c r="FV107" s="47"/>
      <c r="FX107" s="47"/>
      <c r="FZ107" s="47"/>
      <c r="GB107" s="47"/>
      <c r="GD107" s="47"/>
      <c r="GF107" s="47"/>
      <c r="GH107" s="47"/>
      <c r="GJ107" s="47"/>
      <c r="GL107" s="47"/>
      <c r="GN107" s="47"/>
      <c r="GP107" s="47"/>
      <c r="GR107" s="47"/>
      <c r="GT107" s="47"/>
      <c r="GV107" s="47"/>
      <c r="GX107" s="47"/>
      <c r="GZ107" s="47"/>
      <c r="HB107" s="47"/>
      <c r="HD107" s="47"/>
      <c r="HF107" s="47"/>
      <c r="HH107" s="47"/>
      <c r="HJ107" s="47"/>
      <c r="HL107" s="47"/>
      <c r="HN107" s="47"/>
      <c r="HP107" s="47"/>
      <c r="HR107" s="47"/>
      <c r="HT107" s="47"/>
      <c r="HV107" s="47"/>
      <c r="HX107" s="47"/>
      <c r="HZ107" s="47"/>
      <c r="IB107" s="47"/>
      <c r="ID107" s="47"/>
      <c r="IF107" s="47"/>
      <c r="IH107" s="47"/>
      <c r="IJ107" s="47"/>
      <c r="IL107" s="47"/>
      <c r="IN107" s="47"/>
      <c r="IP107" s="47"/>
      <c r="IR107" s="47"/>
    </row>
    <row r="108" spans="2:252" ht="30" customHeight="1" x14ac:dyDescent="0.2">
      <c r="B108" s="58" t="s">
        <v>89</v>
      </c>
      <c r="C108" s="59" t="s">
        <v>60</v>
      </c>
      <c r="D108" s="50">
        <v>1</v>
      </c>
      <c r="E108" s="60">
        <f>E124</f>
        <v>46048</v>
      </c>
      <c r="F108" s="60">
        <f>E108+20</f>
        <v>46068</v>
      </c>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47"/>
      <c r="EJ108" s="47"/>
      <c r="EK108" s="47"/>
      <c r="EL108" s="47"/>
      <c r="EM108" s="47"/>
      <c r="EN108" s="47"/>
      <c r="EO108" s="47"/>
      <c r="EP108" s="47"/>
      <c r="EQ108" s="47"/>
      <c r="ER108" s="47"/>
      <c r="ES108" s="47"/>
      <c r="ET108" s="47"/>
      <c r="EU108" s="47"/>
      <c r="EV108" s="47"/>
      <c r="EW108" s="47"/>
      <c r="EX108" s="47"/>
      <c r="EY108" s="47"/>
      <c r="EZ108" s="47"/>
      <c r="FA108" s="47"/>
      <c r="FB108" s="47"/>
      <c r="FC108" s="47"/>
      <c r="FD108" s="47"/>
      <c r="FE108" s="47"/>
      <c r="FF108" s="47"/>
      <c r="FG108" s="47"/>
      <c r="FH108" s="47"/>
      <c r="FI108" s="47"/>
      <c r="FJ108" s="47"/>
      <c r="FK108" s="47"/>
      <c r="FL108" s="47"/>
      <c r="FM108" s="47"/>
      <c r="FN108" s="47"/>
      <c r="FO108" s="47"/>
      <c r="FP108" s="47"/>
      <c r="FQ108" s="47"/>
      <c r="FR108" s="47"/>
      <c r="FS108" s="47"/>
      <c r="FT108" s="47"/>
      <c r="FU108" s="47"/>
      <c r="FV108" s="47"/>
      <c r="FX108" s="47"/>
      <c r="FZ108" s="47"/>
      <c r="GB108" s="47"/>
      <c r="GD108" s="47"/>
      <c r="GF108" s="47"/>
      <c r="GH108" s="47"/>
      <c r="GJ108" s="47"/>
      <c r="GL108" s="47"/>
      <c r="GN108" s="47"/>
      <c r="GP108" s="47"/>
      <c r="GR108" s="47"/>
      <c r="GT108" s="47"/>
      <c r="GV108" s="47"/>
      <c r="GX108" s="47"/>
      <c r="GZ108" s="47"/>
      <c r="HB108" s="47"/>
      <c r="HD108" s="47"/>
      <c r="HF108" s="47"/>
      <c r="HH108" s="47"/>
      <c r="HJ108" s="47"/>
      <c r="HL108" s="47"/>
      <c r="HN108" s="47"/>
      <c r="HP108" s="47"/>
      <c r="HR108" s="47"/>
      <c r="HT108" s="47"/>
      <c r="HV108" s="47"/>
      <c r="HX108" s="47"/>
      <c r="HZ108" s="47"/>
      <c r="IB108" s="47"/>
      <c r="ID108" s="47"/>
      <c r="IF108" s="47"/>
      <c r="IH108" s="47"/>
      <c r="IJ108" s="47"/>
      <c r="IL108" s="47"/>
      <c r="IN108" s="47"/>
      <c r="IP108" s="47"/>
      <c r="IR108" s="47"/>
    </row>
    <row r="109" spans="2:252" ht="30" customHeight="1" x14ac:dyDescent="0.2">
      <c r="B109" s="58" t="s">
        <v>90</v>
      </c>
      <c r="C109" s="59" t="s">
        <v>60</v>
      </c>
      <c r="D109" s="50">
        <v>1</v>
      </c>
      <c r="E109" s="60">
        <f>E108</f>
        <v>46048</v>
      </c>
      <c r="F109" s="60">
        <f>E109+14</f>
        <v>46062</v>
      </c>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J109" s="47"/>
      <c r="EK109" s="47"/>
      <c r="EL109" s="47"/>
      <c r="EM109" s="47"/>
      <c r="EN109" s="47"/>
      <c r="EO109" s="47"/>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c r="FL109" s="47"/>
      <c r="FM109" s="47"/>
      <c r="FN109" s="47"/>
      <c r="FO109" s="47"/>
      <c r="FP109" s="47"/>
      <c r="FQ109" s="47"/>
      <c r="FR109" s="47"/>
      <c r="FS109" s="47"/>
      <c r="FT109" s="47"/>
      <c r="FU109" s="47"/>
      <c r="FV109" s="47"/>
      <c r="FX109" s="47"/>
      <c r="FZ109" s="47"/>
      <c r="GB109" s="47"/>
      <c r="GD109" s="47"/>
      <c r="GF109" s="47"/>
      <c r="GH109" s="47"/>
      <c r="GJ109" s="47"/>
      <c r="GL109" s="47"/>
      <c r="GN109" s="47"/>
      <c r="GP109" s="47"/>
      <c r="GR109" s="47"/>
      <c r="GT109" s="47"/>
      <c r="GV109" s="47"/>
      <c r="GX109" s="47"/>
      <c r="GZ109" s="47"/>
      <c r="HB109" s="47"/>
      <c r="HD109" s="47"/>
      <c r="HF109" s="47"/>
      <c r="HH109" s="47"/>
      <c r="HJ109" s="47"/>
      <c r="HL109" s="47"/>
      <c r="HN109" s="47"/>
      <c r="HP109" s="47"/>
      <c r="HR109" s="47"/>
      <c r="HT109" s="47"/>
      <c r="HV109" s="47"/>
      <c r="HX109" s="47"/>
      <c r="HZ109" s="47"/>
      <c r="IB109" s="47"/>
      <c r="ID109" s="47"/>
      <c r="IF109" s="47"/>
      <c r="IH109" s="47"/>
      <c r="IJ109" s="47"/>
      <c r="IL109" s="47"/>
      <c r="IN109" s="47"/>
      <c r="IP109" s="47"/>
      <c r="IR109" s="47"/>
    </row>
    <row r="110" spans="2:252" ht="30" customHeight="1" x14ac:dyDescent="0.2">
      <c r="B110" s="58" t="s">
        <v>91</v>
      </c>
      <c r="C110" s="59" t="s">
        <v>60</v>
      </c>
      <c r="D110" s="50">
        <v>1</v>
      </c>
      <c r="E110" s="60">
        <f>F107+2</f>
        <v>46060</v>
      </c>
      <c r="F110" s="60">
        <f>E110+1</f>
        <v>46061</v>
      </c>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47"/>
      <c r="EJ110" s="47"/>
      <c r="EK110" s="47"/>
      <c r="EL110" s="47"/>
      <c r="EM110" s="47"/>
      <c r="EN110" s="47"/>
      <c r="EO110" s="47"/>
      <c r="EP110" s="47"/>
      <c r="EQ110" s="47"/>
      <c r="ER110" s="47"/>
      <c r="ES110" s="47"/>
      <c r="ET110" s="47"/>
      <c r="EU110" s="47"/>
      <c r="EV110" s="47"/>
      <c r="EW110" s="47"/>
      <c r="EX110" s="47"/>
      <c r="EY110" s="47"/>
      <c r="EZ110" s="47"/>
      <c r="FA110" s="47"/>
      <c r="FB110" s="47"/>
      <c r="FC110" s="47"/>
      <c r="FD110" s="47"/>
      <c r="FE110" s="47"/>
      <c r="FF110" s="47"/>
      <c r="FG110" s="47"/>
      <c r="FH110" s="47"/>
      <c r="FI110" s="47"/>
      <c r="FJ110" s="47"/>
      <c r="FK110" s="47"/>
      <c r="FL110" s="47"/>
      <c r="FM110" s="47"/>
      <c r="FN110" s="47"/>
      <c r="FO110" s="47"/>
      <c r="FP110" s="47"/>
      <c r="FQ110" s="47"/>
      <c r="FR110" s="47"/>
      <c r="FS110" s="47"/>
      <c r="FT110" s="47"/>
      <c r="FU110" s="47"/>
      <c r="FV110" s="47"/>
      <c r="FX110" s="47"/>
      <c r="FZ110" s="47"/>
      <c r="GB110" s="47"/>
      <c r="GD110" s="47"/>
      <c r="GF110" s="47"/>
      <c r="GH110" s="47"/>
      <c r="GJ110" s="47"/>
      <c r="GL110" s="47"/>
      <c r="GN110" s="47"/>
      <c r="GP110" s="47"/>
      <c r="GR110" s="47"/>
      <c r="GT110" s="47"/>
      <c r="GV110" s="47"/>
      <c r="GX110" s="47"/>
      <c r="GZ110" s="47"/>
      <c r="HB110" s="47"/>
      <c r="HD110" s="47"/>
      <c r="HF110" s="47"/>
      <c r="HH110" s="47"/>
      <c r="HJ110" s="47"/>
      <c r="HL110" s="47"/>
      <c r="HN110" s="47"/>
      <c r="HP110" s="47"/>
      <c r="HR110" s="47"/>
      <c r="HT110" s="47"/>
      <c r="HV110" s="47"/>
      <c r="HX110" s="47"/>
      <c r="HZ110" s="47"/>
      <c r="IB110" s="47"/>
      <c r="ID110" s="47"/>
      <c r="IF110" s="47"/>
      <c r="IH110" s="47"/>
      <c r="IJ110" s="47"/>
      <c r="IL110" s="47"/>
      <c r="IN110" s="47"/>
      <c r="IP110" s="47"/>
      <c r="IR110" s="47"/>
    </row>
    <row r="111" spans="2:252" ht="30" customHeight="1" x14ac:dyDescent="0.2">
      <c r="B111" s="58"/>
      <c r="C111" s="59"/>
      <c r="D111" s="50"/>
      <c r="E111" s="60"/>
      <c r="F111" s="60"/>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47"/>
      <c r="EO111" s="47"/>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c r="FL111" s="47"/>
      <c r="FM111" s="47"/>
      <c r="FN111" s="47"/>
      <c r="FO111" s="47"/>
      <c r="FP111" s="47"/>
      <c r="FQ111" s="47"/>
      <c r="FR111" s="47"/>
      <c r="FS111" s="47"/>
      <c r="FT111" s="47"/>
      <c r="FU111" s="47"/>
      <c r="FV111" s="47"/>
      <c r="FX111" s="47"/>
      <c r="FZ111" s="47"/>
      <c r="GB111" s="47"/>
      <c r="GD111" s="47"/>
      <c r="GF111" s="47"/>
      <c r="GH111" s="47"/>
      <c r="GJ111" s="47"/>
      <c r="GL111" s="47"/>
      <c r="GN111" s="47"/>
      <c r="GP111" s="47"/>
      <c r="GR111" s="47"/>
      <c r="GT111" s="47"/>
      <c r="GV111" s="47"/>
      <c r="GX111" s="47"/>
      <c r="GZ111" s="47"/>
      <c r="HB111" s="47"/>
      <c r="HD111" s="47"/>
      <c r="HF111" s="47"/>
      <c r="HH111" s="47"/>
      <c r="HJ111" s="47"/>
      <c r="HL111" s="47"/>
      <c r="HN111" s="47"/>
      <c r="HP111" s="47"/>
      <c r="HR111" s="47"/>
      <c r="HT111" s="47"/>
      <c r="HV111" s="47"/>
      <c r="HX111" s="47"/>
      <c r="HZ111" s="47"/>
      <c r="IB111" s="47"/>
      <c r="ID111" s="47"/>
      <c r="IF111" s="47"/>
      <c r="IH111" s="47"/>
      <c r="IJ111" s="47"/>
      <c r="IL111" s="47"/>
      <c r="IN111" s="47"/>
      <c r="IP111" s="47"/>
      <c r="IR111" s="47"/>
    </row>
    <row r="112" spans="2:252" ht="30" customHeight="1" x14ac:dyDescent="0.2">
      <c r="B112" s="58" t="s">
        <v>61</v>
      </c>
      <c r="C112" s="59" t="s">
        <v>57</v>
      </c>
      <c r="D112" s="50">
        <v>1</v>
      </c>
      <c r="E112" s="60">
        <v>46062</v>
      </c>
      <c r="F112" s="60">
        <f>E112</f>
        <v>46062</v>
      </c>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47"/>
      <c r="EJ112" s="47"/>
      <c r="EK112" s="47"/>
      <c r="EL112" s="47"/>
      <c r="EM112" s="47"/>
      <c r="EN112" s="47"/>
      <c r="EO112" s="47"/>
      <c r="EP112" s="47"/>
      <c r="EQ112" s="47"/>
      <c r="ER112" s="47"/>
      <c r="ES112" s="47"/>
      <c r="ET112" s="47"/>
      <c r="EU112" s="47"/>
      <c r="EV112" s="47"/>
      <c r="EW112" s="47"/>
      <c r="EX112" s="47"/>
      <c r="EY112" s="47"/>
      <c r="EZ112" s="47"/>
      <c r="FA112" s="47"/>
      <c r="FB112" s="47"/>
      <c r="FC112" s="47"/>
      <c r="FD112" s="47"/>
      <c r="FE112" s="47"/>
      <c r="FF112" s="47"/>
      <c r="FG112" s="47"/>
      <c r="FH112" s="47"/>
      <c r="FI112" s="47"/>
      <c r="FJ112" s="47"/>
      <c r="FK112" s="47"/>
      <c r="FL112" s="47"/>
      <c r="FM112" s="47"/>
      <c r="FN112" s="47"/>
      <c r="FO112" s="47"/>
      <c r="FP112" s="47"/>
      <c r="FQ112" s="47"/>
      <c r="FR112" s="47"/>
      <c r="FS112" s="47"/>
      <c r="FT112" s="47"/>
      <c r="FU112" s="47"/>
      <c r="FV112" s="47"/>
      <c r="FX112" s="47"/>
      <c r="FZ112" s="47"/>
      <c r="GB112" s="47"/>
      <c r="GD112" s="47"/>
      <c r="GF112" s="47"/>
      <c r="GH112" s="47"/>
      <c r="GJ112" s="47"/>
      <c r="GL112" s="47"/>
      <c r="GN112" s="47"/>
      <c r="GP112" s="47"/>
      <c r="GR112" s="47"/>
      <c r="GT112" s="47"/>
      <c r="GV112" s="47"/>
      <c r="GX112" s="47"/>
      <c r="GZ112" s="47"/>
      <c r="HB112" s="47"/>
      <c r="HD112" s="47"/>
      <c r="HF112" s="47"/>
      <c r="HH112" s="47"/>
      <c r="HJ112" s="47"/>
      <c r="HL112" s="47"/>
      <c r="HN112" s="47"/>
      <c r="HP112" s="47"/>
      <c r="HR112" s="47"/>
      <c r="HT112" s="47"/>
      <c r="HV112" s="47"/>
      <c r="HX112" s="47"/>
      <c r="HZ112" s="47"/>
      <c r="IB112" s="47"/>
      <c r="ID112" s="47"/>
      <c r="IF112" s="47"/>
      <c r="IH112" s="47"/>
      <c r="IJ112" s="47"/>
      <c r="IL112" s="47"/>
      <c r="IN112" s="47"/>
      <c r="IP112" s="47"/>
      <c r="IR112" s="47"/>
    </row>
    <row r="113" spans="2:252" ht="30" customHeight="1" x14ac:dyDescent="0.2">
      <c r="B113" s="58" t="s">
        <v>43</v>
      </c>
      <c r="C113" s="59" t="s">
        <v>52</v>
      </c>
      <c r="D113" s="50">
        <v>1</v>
      </c>
      <c r="E113" s="60">
        <f>F112+2</f>
        <v>46064</v>
      </c>
      <c r="F113" s="60">
        <f>E113</f>
        <v>46064</v>
      </c>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c r="FL113" s="47"/>
      <c r="FM113" s="47"/>
      <c r="FN113" s="47"/>
      <c r="FO113" s="47"/>
      <c r="FP113" s="47"/>
      <c r="FQ113" s="47"/>
      <c r="FR113" s="47"/>
      <c r="FS113" s="47"/>
      <c r="FT113" s="47"/>
      <c r="FU113" s="47"/>
      <c r="FV113" s="47"/>
      <c r="FX113" s="47"/>
      <c r="FZ113" s="47"/>
      <c r="GB113" s="47"/>
      <c r="GD113" s="47"/>
      <c r="GF113" s="47"/>
      <c r="GH113" s="47"/>
      <c r="GJ113" s="47"/>
      <c r="GL113" s="47"/>
      <c r="GN113" s="47"/>
      <c r="GP113" s="47"/>
      <c r="GR113" s="47"/>
      <c r="GT113" s="47"/>
      <c r="GV113" s="47"/>
      <c r="GX113" s="47"/>
      <c r="GZ113" s="47"/>
      <c r="HB113" s="47"/>
      <c r="HD113" s="47"/>
      <c r="HF113" s="47"/>
      <c r="HH113" s="47"/>
      <c r="HJ113" s="47"/>
      <c r="HL113" s="47"/>
      <c r="HN113" s="47"/>
      <c r="HP113" s="47"/>
      <c r="HR113" s="47"/>
      <c r="HT113" s="47"/>
      <c r="HV113" s="47"/>
      <c r="HX113" s="47"/>
      <c r="HZ113" s="47"/>
      <c r="IB113" s="47"/>
      <c r="ID113" s="47"/>
      <c r="IF113" s="47"/>
      <c r="IH113" s="47"/>
      <c r="IJ113" s="47"/>
      <c r="IL113" s="47"/>
      <c r="IN113" s="47"/>
      <c r="IP113" s="47"/>
      <c r="IR113" s="47"/>
    </row>
    <row r="114" spans="2:252" ht="30" customHeight="1" x14ac:dyDescent="0.2">
      <c r="B114" s="58" t="s">
        <v>45</v>
      </c>
      <c r="C114" s="59" t="s">
        <v>52</v>
      </c>
      <c r="D114" s="50">
        <v>1</v>
      </c>
      <c r="E114" s="60">
        <f>F113</f>
        <v>46064</v>
      </c>
      <c r="F114" s="60">
        <f>E114+2</f>
        <v>46066</v>
      </c>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47"/>
      <c r="EJ114" s="47"/>
      <c r="EK114" s="47"/>
      <c r="EL114" s="47"/>
      <c r="EM114" s="47"/>
      <c r="EN114" s="47"/>
      <c r="EO114" s="47"/>
      <c r="EP114" s="47"/>
      <c r="EQ114" s="47"/>
      <c r="ER114" s="47"/>
      <c r="ES114" s="47"/>
      <c r="ET114" s="47"/>
      <c r="EU114" s="47"/>
      <c r="EV114" s="47"/>
      <c r="EW114" s="47"/>
      <c r="EX114" s="47"/>
      <c r="EY114" s="47"/>
      <c r="EZ114" s="47"/>
      <c r="FA114" s="47"/>
      <c r="FB114" s="47"/>
      <c r="FC114" s="47"/>
      <c r="FD114" s="47"/>
      <c r="FE114" s="47"/>
      <c r="FF114" s="47"/>
      <c r="FG114" s="47"/>
      <c r="FH114" s="47"/>
      <c r="FI114" s="47"/>
      <c r="FJ114" s="47"/>
      <c r="FK114" s="47"/>
      <c r="FL114" s="47"/>
      <c r="FM114" s="47"/>
      <c r="FN114" s="47"/>
      <c r="FO114" s="47"/>
      <c r="FP114" s="47"/>
      <c r="FQ114" s="47"/>
      <c r="FR114" s="47"/>
      <c r="FS114" s="47"/>
      <c r="FT114" s="47"/>
      <c r="FU114" s="47"/>
      <c r="FV114" s="47"/>
      <c r="FX114" s="47"/>
      <c r="FZ114" s="47"/>
      <c r="GB114" s="47"/>
      <c r="GD114" s="47"/>
      <c r="GF114" s="47"/>
      <c r="GH114" s="47"/>
      <c r="GJ114" s="47"/>
      <c r="GL114" s="47"/>
      <c r="GN114" s="47"/>
      <c r="GP114" s="47"/>
      <c r="GR114" s="47"/>
      <c r="GT114" s="47"/>
      <c r="GV114" s="47"/>
      <c r="GX114" s="47"/>
      <c r="GZ114" s="47"/>
      <c r="HB114" s="47"/>
      <c r="HD114" s="47"/>
      <c r="HF114" s="47"/>
      <c r="HH114" s="47"/>
      <c r="HJ114" s="47"/>
      <c r="HL114" s="47"/>
      <c r="HN114" s="47"/>
      <c r="HP114" s="47"/>
      <c r="HR114" s="47"/>
      <c r="HT114" s="47"/>
      <c r="HV114" s="47"/>
      <c r="HX114" s="47"/>
      <c r="HZ114" s="47"/>
      <c r="IB114" s="47"/>
      <c r="ID114" s="47"/>
      <c r="IF114" s="47"/>
      <c r="IH114" s="47"/>
      <c r="IJ114" s="47"/>
      <c r="IL114" s="47"/>
      <c r="IN114" s="47"/>
      <c r="IP114" s="47"/>
      <c r="IR114" s="47"/>
    </row>
    <row r="115" spans="2:252" ht="30" customHeight="1" x14ac:dyDescent="0.2">
      <c r="B115" s="58" t="s">
        <v>46</v>
      </c>
      <c r="C115" s="59" t="s">
        <v>52</v>
      </c>
      <c r="D115" s="50">
        <v>1</v>
      </c>
      <c r="E115" s="60">
        <f>F114</f>
        <v>46066</v>
      </c>
      <c r="F115" s="60">
        <f>E115+2</f>
        <v>46068</v>
      </c>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47"/>
      <c r="EJ115" s="47"/>
      <c r="EK115" s="47"/>
      <c r="EL115" s="47"/>
      <c r="EM115" s="47"/>
      <c r="EN115" s="47"/>
      <c r="EO115" s="47"/>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c r="FL115" s="47"/>
      <c r="FM115" s="47"/>
      <c r="FN115" s="47"/>
      <c r="FO115" s="47"/>
      <c r="FP115" s="47"/>
      <c r="FQ115" s="47"/>
      <c r="FR115" s="47"/>
      <c r="FS115" s="47"/>
      <c r="FT115" s="47"/>
      <c r="FU115" s="47"/>
      <c r="FV115" s="47"/>
      <c r="FX115" s="47"/>
      <c r="FZ115" s="47"/>
      <c r="GB115" s="47"/>
      <c r="GD115" s="47"/>
      <c r="GF115" s="47"/>
      <c r="GH115" s="47"/>
      <c r="GJ115" s="47"/>
      <c r="GL115" s="47"/>
      <c r="GN115" s="47"/>
      <c r="GP115" s="47"/>
      <c r="GR115" s="47"/>
      <c r="GT115" s="47"/>
      <c r="GV115" s="47"/>
      <c r="GX115" s="47"/>
      <c r="GZ115" s="47"/>
      <c r="HB115" s="47"/>
      <c r="HD115" s="47"/>
      <c r="HF115" s="47"/>
      <c r="HH115" s="47"/>
      <c r="HJ115" s="47"/>
      <c r="HL115" s="47"/>
      <c r="HN115" s="47"/>
      <c r="HP115" s="47"/>
      <c r="HR115" s="47"/>
      <c r="HT115" s="47"/>
      <c r="HV115" s="47"/>
      <c r="HX115" s="47"/>
      <c r="HZ115" s="47"/>
      <c r="IB115" s="47"/>
      <c r="ID115" s="47"/>
      <c r="IF115" s="47"/>
      <c r="IH115" s="47"/>
      <c r="IJ115" s="47"/>
      <c r="IL115" s="47"/>
      <c r="IN115" s="47"/>
      <c r="IP115" s="47"/>
      <c r="IR115" s="47"/>
    </row>
    <row r="116" spans="2:252" ht="30" customHeight="1" x14ac:dyDescent="0.2">
      <c r="B116" s="58" t="s">
        <v>47</v>
      </c>
      <c r="C116" s="59" t="s">
        <v>52</v>
      </c>
      <c r="D116" s="50">
        <v>1</v>
      </c>
      <c r="E116" s="60">
        <f>F114</f>
        <v>46066</v>
      </c>
      <c r="F116" s="60">
        <f>E116+7</f>
        <v>46073</v>
      </c>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47"/>
      <c r="EJ116" s="47"/>
      <c r="EK116" s="47"/>
      <c r="EL116" s="47"/>
      <c r="EM116" s="47"/>
      <c r="EN116" s="47"/>
      <c r="EO116" s="47"/>
      <c r="EP116" s="47"/>
      <c r="EQ116" s="47"/>
      <c r="ER116" s="47"/>
      <c r="ES116" s="47"/>
      <c r="ET116" s="47"/>
      <c r="EU116" s="47"/>
      <c r="EV116" s="47"/>
      <c r="EW116" s="47"/>
      <c r="EX116" s="47"/>
      <c r="EY116" s="47"/>
      <c r="EZ116" s="47"/>
      <c r="FA116" s="47"/>
      <c r="FB116" s="47"/>
      <c r="FC116" s="47"/>
      <c r="FD116" s="47"/>
      <c r="FE116" s="47"/>
      <c r="FF116" s="47"/>
      <c r="FG116" s="47"/>
      <c r="FH116" s="47"/>
      <c r="FI116" s="47"/>
      <c r="FJ116" s="47"/>
      <c r="FK116" s="47"/>
      <c r="FL116" s="47"/>
      <c r="FM116" s="47"/>
      <c r="FN116" s="47"/>
      <c r="FO116" s="47"/>
      <c r="FP116" s="47"/>
      <c r="FQ116" s="47"/>
      <c r="FR116" s="47"/>
      <c r="FS116" s="47"/>
      <c r="FT116" s="47"/>
      <c r="FU116" s="47"/>
      <c r="FV116" s="47"/>
      <c r="FX116" s="47"/>
      <c r="FZ116" s="47"/>
      <c r="GB116" s="47"/>
      <c r="GD116" s="47"/>
      <c r="GF116" s="47"/>
      <c r="GH116" s="47"/>
      <c r="GJ116" s="47"/>
      <c r="GL116" s="47"/>
      <c r="GN116" s="47"/>
      <c r="GP116" s="47"/>
      <c r="GR116" s="47"/>
      <c r="GT116" s="47"/>
      <c r="GV116" s="47"/>
      <c r="GX116" s="47"/>
      <c r="GZ116" s="47"/>
      <c r="HB116" s="47"/>
      <c r="HD116" s="47"/>
      <c r="HF116" s="47"/>
      <c r="HH116" s="47"/>
      <c r="HJ116" s="47"/>
      <c r="HL116" s="47"/>
      <c r="HN116" s="47"/>
      <c r="HP116" s="47"/>
      <c r="HR116" s="47"/>
      <c r="HT116" s="47"/>
      <c r="HV116" s="47"/>
      <c r="HX116" s="47"/>
      <c r="HZ116" s="47"/>
      <c r="IB116" s="47"/>
      <c r="ID116" s="47"/>
      <c r="IF116" s="47"/>
      <c r="IH116" s="47"/>
      <c r="IJ116" s="47"/>
      <c r="IL116" s="47"/>
      <c r="IN116" s="47"/>
      <c r="IP116" s="47"/>
      <c r="IR116" s="47"/>
    </row>
    <row r="117" spans="2:252" ht="30" customHeight="1" x14ac:dyDescent="0.2">
      <c r="B117" s="58" t="s">
        <v>48</v>
      </c>
      <c r="C117" s="59" t="s">
        <v>52</v>
      </c>
      <c r="D117" s="50">
        <v>1</v>
      </c>
      <c r="E117" s="60">
        <f>E116+3</f>
        <v>46069</v>
      </c>
      <c r="F117" s="60">
        <f>F116</f>
        <v>46073</v>
      </c>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47"/>
      <c r="EJ117" s="47"/>
      <c r="EK117" s="47"/>
      <c r="EL117" s="47"/>
      <c r="EM117" s="47"/>
      <c r="EN117" s="47"/>
      <c r="EO117" s="47"/>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c r="FL117" s="47"/>
      <c r="FM117" s="47"/>
      <c r="FN117" s="47"/>
      <c r="FO117" s="47"/>
      <c r="FP117" s="47"/>
      <c r="FQ117" s="47"/>
      <c r="FR117" s="47"/>
      <c r="FS117" s="47"/>
      <c r="FT117" s="47"/>
      <c r="FU117" s="47"/>
      <c r="FV117" s="47"/>
      <c r="FX117" s="47"/>
      <c r="FZ117" s="47"/>
      <c r="GB117" s="47"/>
      <c r="GD117" s="47"/>
      <c r="GF117" s="47"/>
      <c r="GH117" s="47"/>
      <c r="GJ117" s="47"/>
      <c r="GL117" s="47"/>
      <c r="GN117" s="47"/>
      <c r="GP117" s="47"/>
      <c r="GR117" s="47"/>
      <c r="GT117" s="47"/>
      <c r="GV117" s="47"/>
      <c r="GX117" s="47"/>
      <c r="GZ117" s="47"/>
      <c r="HB117" s="47"/>
      <c r="HD117" s="47"/>
      <c r="HF117" s="47"/>
      <c r="HH117" s="47"/>
      <c r="HJ117" s="47"/>
      <c r="HL117" s="47"/>
      <c r="HN117" s="47"/>
      <c r="HP117" s="47"/>
      <c r="HR117" s="47"/>
      <c r="HT117" s="47"/>
      <c r="HV117" s="47"/>
      <c r="HX117" s="47"/>
      <c r="HZ117" s="47"/>
      <c r="IB117" s="47"/>
      <c r="ID117" s="47"/>
      <c r="IF117" s="47"/>
      <c r="IH117" s="47"/>
      <c r="IJ117" s="47"/>
      <c r="IL117" s="47"/>
      <c r="IN117" s="47"/>
      <c r="IP117" s="47"/>
      <c r="IR117" s="47"/>
    </row>
    <row r="118" spans="2:252" ht="30" customHeight="1" x14ac:dyDescent="0.2">
      <c r="B118" s="58" t="s">
        <v>50</v>
      </c>
      <c r="C118" s="59" t="s">
        <v>52</v>
      </c>
      <c r="D118" s="50">
        <v>1</v>
      </c>
      <c r="E118" s="60">
        <f>F116-2</f>
        <v>46071</v>
      </c>
      <c r="F118" s="60">
        <f>E118+4</f>
        <v>46075</v>
      </c>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X118" s="47"/>
      <c r="FZ118" s="47"/>
      <c r="GB118" s="47"/>
      <c r="GD118" s="47"/>
      <c r="GF118" s="47"/>
      <c r="GH118" s="47"/>
      <c r="GJ118" s="47"/>
      <c r="GL118" s="47"/>
      <c r="GN118" s="47"/>
      <c r="GP118" s="47"/>
      <c r="GR118" s="47"/>
      <c r="GT118" s="47"/>
      <c r="GV118" s="47"/>
      <c r="GX118" s="47"/>
      <c r="GZ118" s="47"/>
      <c r="HB118" s="47"/>
      <c r="HD118" s="47"/>
      <c r="HF118" s="47"/>
      <c r="HH118" s="47"/>
      <c r="HJ118" s="47"/>
      <c r="HL118" s="47"/>
      <c r="HN118" s="47"/>
      <c r="HP118" s="47"/>
      <c r="HR118" s="47"/>
      <c r="HT118" s="47"/>
      <c r="HV118" s="47"/>
      <c r="HX118" s="47"/>
      <c r="HZ118" s="47"/>
      <c r="IB118" s="47"/>
      <c r="ID118" s="47"/>
      <c r="IF118" s="47"/>
      <c r="IH118" s="47"/>
      <c r="IJ118" s="47"/>
      <c r="IL118" s="47"/>
      <c r="IN118" s="47"/>
      <c r="IP118" s="47"/>
      <c r="IR118" s="47"/>
    </row>
    <row r="119" spans="2:252" ht="30" customHeight="1" x14ac:dyDescent="0.2">
      <c r="B119" s="58" t="s">
        <v>49</v>
      </c>
      <c r="C119" s="59" t="s">
        <v>52</v>
      </c>
      <c r="D119" s="50">
        <v>1</v>
      </c>
      <c r="E119" s="60">
        <f>E118+1</f>
        <v>46072</v>
      </c>
      <c r="F119" s="60">
        <f>F118</f>
        <v>46075</v>
      </c>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47"/>
      <c r="EO119" s="47"/>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c r="FL119" s="47"/>
      <c r="FM119" s="47"/>
      <c r="FN119" s="47"/>
      <c r="FO119" s="47"/>
      <c r="FP119" s="47"/>
      <c r="FQ119" s="47"/>
      <c r="FR119" s="47"/>
      <c r="FS119" s="47"/>
      <c r="FT119" s="47"/>
      <c r="FU119" s="47"/>
      <c r="FV119" s="47"/>
      <c r="FX119" s="47"/>
      <c r="FZ119" s="47"/>
      <c r="GB119" s="47"/>
      <c r="GD119" s="47"/>
      <c r="GF119" s="47"/>
      <c r="GH119" s="47"/>
      <c r="GJ119" s="47"/>
      <c r="GL119" s="47"/>
      <c r="GN119" s="47"/>
      <c r="GP119" s="47"/>
      <c r="GR119" s="47"/>
      <c r="GT119" s="47"/>
      <c r="GV119" s="47"/>
      <c r="GX119" s="47"/>
      <c r="GZ119" s="47"/>
      <c r="HB119" s="47"/>
      <c r="HD119" s="47"/>
      <c r="HF119" s="47"/>
      <c r="HH119" s="47"/>
      <c r="HJ119" s="47"/>
      <c r="HL119" s="47"/>
      <c r="HN119" s="47"/>
      <c r="HP119" s="47"/>
      <c r="HR119" s="47"/>
      <c r="HT119" s="47"/>
      <c r="HV119" s="47"/>
      <c r="HX119" s="47"/>
      <c r="HZ119" s="47"/>
      <c r="IB119" s="47"/>
      <c r="ID119" s="47"/>
      <c r="IF119" s="47"/>
      <c r="IH119" s="47"/>
      <c r="IJ119" s="47"/>
      <c r="IL119" s="47"/>
      <c r="IN119" s="47"/>
      <c r="IP119" s="47"/>
      <c r="IR119" s="47"/>
    </row>
    <row r="120" spans="2:252" ht="30" customHeight="1" x14ac:dyDescent="0.2">
      <c r="B120" s="58" t="s">
        <v>64</v>
      </c>
      <c r="C120" s="59" t="s">
        <v>52</v>
      </c>
      <c r="D120" s="50">
        <v>1</v>
      </c>
      <c r="E120" s="60">
        <f>E124</f>
        <v>46048</v>
      </c>
      <c r="F120" s="60">
        <f>E120+7</f>
        <v>46055</v>
      </c>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47"/>
      <c r="EJ120" s="47"/>
      <c r="EK120" s="47"/>
      <c r="EL120" s="47"/>
      <c r="EM120" s="47"/>
      <c r="EN120" s="47"/>
      <c r="EO120" s="47"/>
      <c r="EP120" s="47"/>
      <c r="EQ120" s="47"/>
      <c r="ER120" s="47"/>
      <c r="ES120" s="47"/>
      <c r="ET120" s="47"/>
      <c r="EU120" s="47"/>
      <c r="EV120" s="47"/>
      <c r="EW120" s="47"/>
      <c r="EX120" s="47"/>
      <c r="EY120" s="47"/>
      <c r="EZ120" s="47"/>
      <c r="FA120" s="47"/>
      <c r="FB120" s="47"/>
      <c r="FC120" s="47"/>
      <c r="FD120" s="47"/>
      <c r="FE120" s="47"/>
      <c r="FF120" s="47"/>
      <c r="FG120" s="47"/>
      <c r="FH120" s="47"/>
      <c r="FI120" s="47"/>
      <c r="FJ120" s="47"/>
      <c r="FK120" s="47"/>
      <c r="FL120" s="47"/>
      <c r="FM120" s="47"/>
      <c r="FN120" s="47"/>
      <c r="FO120" s="47"/>
      <c r="FP120" s="47"/>
      <c r="FQ120" s="47"/>
      <c r="FR120" s="47"/>
      <c r="FS120" s="47"/>
      <c r="FT120" s="47"/>
      <c r="FU120" s="47"/>
      <c r="FV120" s="47"/>
      <c r="FX120" s="47"/>
      <c r="FZ120" s="47"/>
      <c r="GB120" s="47"/>
      <c r="GD120" s="47"/>
      <c r="GF120" s="47"/>
      <c r="GH120" s="47"/>
      <c r="GJ120" s="47"/>
      <c r="GL120" s="47"/>
      <c r="GN120" s="47"/>
      <c r="GP120" s="47"/>
      <c r="GR120" s="47"/>
      <c r="GT120" s="47"/>
      <c r="GV120" s="47"/>
      <c r="GX120" s="47"/>
      <c r="GZ120" s="47"/>
      <c r="HB120" s="47"/>
      <c r="HD120" s="47"/>
      <c r="HF120" s="47"/>
      <c r="HH120" s="47"/>
      <c r="HJ120" s="47"/>
      <c r="HL120" s="47"/>
      <c r="HN120" s="47"/>
      <c r="HP120" s="47"/>
      <c r="HR120" s="47"/>
      <c r="HT120" s="47"/>
      <c r="HV120" s="47"/>
      <c r="HX120" s="47"/>
      <c r="HZ120" s="47"/>
      <c r="IB120" s="47"/>
      <c r="ID120" s="47"/>
      <c r="IF120" s="47"/>
      <c r="IH120" s="47"/>
      <c r="IJ120" s="47"/>
      <c r="IL120" s="47"/>
      <c r="IN120" s="47"/>
      <c r="IP120" s="47"/>
      <c r="IR120" s="47"/>
    </row>
    <row r="121" spans="2:252" ht="30" customHeight="1" x14ac:dyDescent="0.2">
      <c r="B121" s="58" t="s">
        <v>59</v>
      </c>
      <c r="C121" s="59" t="s">
        <v>52</v>
      </c>
      <c r="D121" s="50">
        <v>1</v>
      </c>
      <c r="E121" s="60">
        <f>E124+5</f>
        <v>46053</v>
      </c>
      <c r="F121" s="60">
        <f>E122+1</f>
        <v>46062</v>
      </c>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47"/>
      <c r="EO121" s="47"/>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c r="FL121" s="47"/>
      <c r="FM121" s="47"/>
      <c r="FN121" s="47"/>
      <c r="FO121" s="47"/>
      <c r="FP121" s="47"/>
      <c r="FQ121" s="47"/>
      <c r="FR121" s="47"/>
      <c r="FS121" s="47"/>
      <c r="FT121" s="47"/>
      <c r="FU121" s="47"/>
      <c r="FV121" s="47"/>
      <c r="FX121" s="47"/>
      <c r="FZ121" s="47"/>
      <c r="GB121" s="47"/>
      <c r="GD121" s="47"/>
      <c r="GF121" s="47"/>
      <c r="GH121" s="47"/>
      <c r="GJ121" s="47"/>
      <c r="GL121" s="47"/>
      <c r="GN121" s="47"/>
      <c r="GP121" s="47"/>
      <c r="GR121" s="47"/>
      <c r="GT121" s="47"/>
      <c r="GV121" s="47"/>
      <c r="GX121" s="47"/>
      <c r="GZ121" s="47"/>
      <c r="HB121" s="47"/>
      <c r="HD121" s="47"/>
      <c r="HF121" s="47"/>
      <c r="HH121" s="47"/>
      <c r="HJ121" s="47"/>
      <c r="HL121" s="47"/>
      <c r="HN121" s="47"/>
      <c r="HP121" s="47"/>
      <c r="HR121" s="47"/>
      <c r="HT121" s="47"/>
      <c r="HV121" s="47"/>
      <c r="HX121" s="47"/>
      <c r="HZ121" s="47"/>
      <c r="IB121" s="47"/>
      <c r="ID121" s="47"/>
      <c r="IF121" s="47"/>
      <c r="IH121" s="47"/>
      <c r="IJ121" s="47"/>
      <c r="IL121" s="47"/>
      <c r="IN121" s="47"/>
      <c r="IP121" s="47"/>
      <c r="IR121" s="47"/>
    </row>
    <row r="122" spans="2:252" ht="30" customHeight="1" x14ac:dyDescent="0.2">
      <c r="B122" s="58" t="s">
        <v>51</v>
      </c>
      <c r="C122" s="59" t="s">
        <v>52</v>
      </c>
      <c r="D122" s="50">
        <v>1</v>
      </c>
      <c r="E122" s="60">
        <f>E121+8</f>
        <v>46061</v>
      </c>
      <c r="F122" s="60">
        <f>E122+3</f>
        <v>46064</v>
      </c>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47"/>
      <c r="EJ122" s="47"/>
      <c r="EK122" s="47"/>
      <c r="EL122" s="47"/>
      <c r="EM122" s="47"/>
      <c r="EN122" s="47"/>
      <c r="EO122" s="47"/>
      <c r="EP122" s="47"/>
      <c r="EQ122" s="47"/>
      <c r="ER122" s="47"/>
      <c r="ES122" s="47"/>
      <c r="ET122" s="47"/>
      <c r="EU122" s="47"/>
      <c r="EV122" s="47"/>
      <c r="EW122" s="47"/>
      <c r="EX122" s="47"/>
      <c r="EY122" s="47"/>
      <c r="EZ122" s="47"/>
      <c r="FA122" s="47"/>
      <c r="FB122" s="47"/>
      <c r="FC122" s="47"/>
      <c r="FD122" s="47"/>
      <c r="FE122" s="47"/>
      <c r="FF122" s="47"/>
      <c r="FG122" s="47"/>
      <c r="FH122" s="47"/>
      <c r="FI122" s="47"/>
      <c r="FJ122" s="47"/>
      <c r="FK122" s="47"/>
      <c r="FL122" s="47"/>
      <c r="FM122" s="47"/>
      <c r="FN122" s="47"/>
      <c r="FO122" s="47"/>
      <c r="FP122" s="47"/>
      <c r="FQ122" s="47"/>
      <c r="FR122" s="47"/>
      <c r="FS122" s="47"/>
      <c r="FT122" s="47"/>
      <c r="FU122" s="47"/>
      <c r="FV122" s="47"/>
      <c r="FX122" s="47"/>
      <c r="FZ122" s="47"/>
      <c r="GB122" s="47"/>
      <c r="GD122" s="47"/>
      <c r="GF122" s="47"/>
      <c r="GH122" s="47"/>
      <c r="GJ122" s="47"/>
      <c r="GL122" s="47"/>
      <c r="GN122" s="47"/>
      <c r="GP122" s="47"/>
      <c r="GR122" s="47"/>
      <c r="GT122" s="47"/>
      <c r="GV122" s="47"/>
      <c r="GX122" s="47"/>
      <c r="GZ122" s="47"/>
      <c r="HB122" s="47"/>
      <c r="HD122" s="47"/>
      <c r="HF122" s="47"/>
      <c r="HH122" s="47"/>
      <c r="HJ122" s="47"/>
      <c r="HL122" s="47"/>
      <c r="HN122" s="47"/>
      <c r="HP122" s="47"/>
      <c r="HR122" s="47"/>
      <c r="HT122" s="47"/>
      <c r="HV122" s="47"/>
      <c r="HX122" s="47"/>
      <c r="HZ122" s="47"/>
      <c r="IB122" s="47"/>
      <c r="ID122" s="47"/>
      <c r="IF122" s="47"/>
      <c r="IH122" s="47"/>
      <c r="IJ122" s="47"/>
      <c r="IL122" s="47"/>
      <c r="IN122" s="47"/>
      <c r="IP122" s="47"/>
      <c r="IR122" s="47"/>
    </row>
    <row r="123" spans="2:252" ht="30" customHeight="1" x14ac:dyDescent="0.2">
      <c r="B123" s="70" t="s">
        <v>67</v>
      </c>
      <c r="C123" s="71"/>
      <c r="D123" s="72"/>
      <c r="E123" s="73"/>
      <c r="F123" s="74"/>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47"/>
      <c r="EJ123" s="47"/>
      <c r="EK123" s="47"/>
      <c r="EL123" s="47"/>
      <c r="EM123" s="47"/>
      <c r="EN123" s="47"/>
      <c r="EO123" s="47"/>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c r="FL123" s="47"/>
      <c r="FM123" s="47"/>
      <c r="FN123" s="47"/>
      <c r="FO123" s="47"/>
      <c r="FP123" s="47"/>
      <c r="FQ123" s="47"/>
      <c r="FR123" s="47"/>
      <c r="FS123" s="47"/>
      <c r="FT123" s="47"/>
      <c r="FU123" s="47"/>
      <c r="FV123" s="47"/>
      <c r="FX123" s="47"/>
      <c r="FZ123" s="47"/>
      <c r="GB123" s="47"/>
      <c r="GD123" s="47"/>
      <c r="GF123" s="47"/>
      <c r="GH123" s="47"/>
      <c r="GJ123" s="47"/>
      <c r="GL123" s="47"/>
      <c r="GN123" s="47"/>
      <c r="GP123" s="47"/>
      <c r="GR123" s="47"/>
      <c r="GT123" s="47"/>
      <c r="GV123" s="47"/>
      <c r="GX123" s="47"/>
      <c r="GZ123" s="47"/>
      <c r="HB123" s="47"/>
      <c r="HD123" s="47"/>
      <c r="HF123" s="47"/>
      <c r="HH123" s="47"/>
      <c r="HJ123" s="47"/>
      <c r="HL123" s="47"/>
      <c r="HN123" s="47"/>
      <c r="HP123" s="47"/>
      <c r="HR123" s="47"/>
      <c r="HT123" s="47"/>
      <c r="HV123" s="47"/>
      <c r="HX123" s="47"/>
      <c r="HZ123" s="47"/>
      <c r="IB123" s="47"/>
      <c r="ID123" s="47"/>
      <c r="IF123" s="47"/>
      <c r="IH123" s="47"/>
      <c r="IJ123" s="47"/>
      <c r="IL123" s="47"/>
      <c r="IN123" s="47"/>
      <c r="IP123" s="47"/>
      <c r="IR123" s="47"/>
    </row>
    <row r="124" spans="2:252" ht="30" customHeight="1" x14ac:dyDescent="0.2">
      <c r="B124" s="76" t="s">
        <v>92</v>
      </c>
      <c r="C124" s="77" t="s">
        <v>70</v>
      </c>
      <c r="D124" s="50">
        <v>1</v>
      </c>
      <c r="E124" s="78">
        <v>46048</v>
      </c>
      <c r="F124" s="78">
        <v>46052</v>
      </c>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47"/>
      <c r="EJ124" s="47"/>
      <c r="EK124" s="47"/>
      <c r="EL124" s="47"/>
      <c r="EM124" s="47"/>
      <c r="EN124" s="47"/>
      <c r="EO124" s="47"/>
      <c r="EP124" s="47"/>
      <c r="EQ124" s="47"/>
      <c r="ER124" s="47"/>
      <c r="ES124" s="47"/>
      <c r="ET124" s="47"/>
      <c r="EU124" s="47"/>
      <c r="EV124" s="47"/>
      <c r="EW124" s="47"/>
      <c r="EX124" s="47"/>
      <c r="EY124" s="47"/>
      <c r="EZ124" s="93"/>
      <c r="FA124" s="93"/>
      <c r="FB124" s="93"/>
      <c r="FC124" s="93"/>
      <c r="FD124" s="93"/>
      <c r="FE124" s="47"/>
      <c r="FF124" s="47"/>
      <c r="FG124" s="47"/>
      <c r="FH124" s="47"/>
      <c r="FI124" s="47"/>
      <c r="FJ124" s="47"/>
      <c r="FK124" s="47"/>
      <c r="FL124" s="47"/>
      <c r="FM124" s="47"/>
      <c r="FN124" s="47"/>
      <c r="FO124" s="47"/>
      <c r="FP124" s="47"/>
      <c r="FQ124" s="47"/>
      <c r="FR124" s="47"/>
      <c r="FS124" s="47"/>
      <c r="FT124" s="47"/>
      <c r="FU124" s="47"/>
      <c r="FV124" s="47"/>
      <c r="FX124" s="47"/>
      <c r="FZ124" s="47"/>
      <c r="GB124" s="47"/>
      <c r="GD124" s="47"/>
      <c r="GF124" s="47"/>
      <c r="GH124" s="47"/>
      <c r="GJ124" s="47"/>
      <c r="GL124" s="47"/>
      <c r="GN124" s="47"/>
      <c r="GP124" s="47"/>
      <c r="GR124" s="47"/>
      <c r="GT124" s="47"/>
      <c r="GV124" s="47"/>
      <c r="GX124" s="47"/>
      <c r="GZ124" s="47"/>
      <c r="HB124" s="47"/>
      <c r="HD124" s="47"/>
      <c r="HF124" s="47"/>
      <c r="HH124" s="47"/>
      <c r="HJ124" s="47"/>
      <c r="HL124" s="47"/>
      <c r="HN124" s="47"/>
      <c r="HP124" s="47"/>
      <c r="HR124" s="47"/>
      <c r="HT124" s="47"/>
      <c r="HV124" s="47"/>
      <c r="HX124" s="47"/>
      <c r="HZ124" s="47"/>
      <c r="IB124" s="47"/>
      <c r="ID124" s="47"/>
      <c r="IF124" s="47"/>
      <c r="IH124" s="47"/>
      <c r="IJ124" s="47"/>
      <c r="IL124" s="47"/>
      <c r="IN124" s="47"/>
      <c r="IP124" s="47"/>
      <c r="IR124" s="47"/>
    </row>
    <row r="125" spans="2:252" ht="30" customHeight="1" x14ac:dyDescent="0.2">
      <c r="B125" s="76" t="s">
        <v>93</v>
      </c>
      <c r="C125" s="77" t="s">
        <v>57</v>
      </c>
      <c r="D125" s="50">
        <v>1</v>
      </c>
      <c r="E125" s="78">
        <v>46052</v>
      </c>
      <c r="F125" s="78">
        <f>E125</f>
        <v>46052</v>
      </c>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47"/>
      <c r="EJ125" s="47"/>
      <c r="EK125" s="47"/>
      <c r="EL125" s="47"/>
      <c r="EM125" s="47"/>
      <c r="EN125" s="47"/>
      <c r="EO125" s="47"/>
      <c r="EP125" s="47"/>
      <c r="EQ125" s="47"/>
      <c r="ER125" s="47"/>
      <c r="ES125" s="47"/>
      <c r="ET125" s="47"/>
      <c r="EU125" s="47"/>
      <c r="EV125" s="47"/>
      <c r="EW125" s="47"/>
      <c r="EX125" s="47"/>
      <c r="EY125" s="47"/>
      <c r="EZ125" s="47"/>
      <c r="FA125" s="47"/>
      <c r="FB125" s="47"/>
      <c r="FC125" s="47"/>
      <c r="FD125" s="93"/>
      <c r="FE125" s="47"/>
      <c r="FF125" s="47"/>
      <c r="FG125" s="47"/>
      <c r="FH125" s="47"/>
      <c r="FI125" s="47"/>
      <c r="FJ125" s="47"/>
      <c r="FK125" s="47"/>
      <c r="FL125" s="47"/>
      <c r="FM125" s="47"/>
      <c r="FN125" s="47"/>
      <c r="FO125" s="47"/>
      <c r="FP125" s="47"/>
      <c r="FQ125" s="47"/>
      <c r="FR125" s="47"/>
      <c r="FS125" s="47"/>
      <c r="FT125" s="47"/>
      <c r="FU125" s="47"/>
      <c r="FV125" s="47"/>
      <c r="FX125" s="47"/>
      <c r="FZ125" s="47"/>
      <c r="GB125" s="47"/>
      <c r="GD125" s="47"/>
      <c r="GF125" s="47"/>
      <c r="GH125" s="47"/>
      <c r="GJ125" s="47"/>
      <c r="GL125" s="47"/>
      <c r="GN125" s="47"/>
      <c r="GP125" s="47"/>
      <c r="GR125" s="47"/>
      <c r="GT125" s="47"/>
      <c r="GV125" s="47"/>
      <c r="GX125" s="47"/>
      <c r="GZ125" s="47"/>
      <c r="HB125" s="47"/>
      <c r="HD125" s="47"/>
      <c r="HF125" s="47"/>
      <c r="HH125" s="47"/>
      <c r="HJ125" s="47"/>
      <c r="HL125" s="47"/>
      <c r="HN125" s="47"/>
      <c r="HP125" s="47"/>
      <c r="HR125" s="47"/>
      <c r="HT125" s="47"/>
      <c r="HV125" s="47"/>
      <c r="HX125" s="47"/>
      <c r="HZ125" s="47"/>
      <c r="IB125" s="47"/>
      <c r="ID125" s="47"/>
      <c r="IF125" s="47"/>
      <c r="IH125" s="47"/>
      <c r="IJ125" s="47"/>
      <c r="IL125" s="47"/>
      <c r="IN125" s="47"/>
      <c r="IP125" s="47"/>
      <c r="IR125" s="47"/>
    </row>
    <row r="126" spans="2:252" ht="30" customHeight="1" x14ac:dyDescent="0.2">
      <c r="B126" s="76" t="s">
        <v>94</v>
      </c>
      <c r="C126" s="77" t="s">
        <v>57</v>
      </c>
      <c r="D126" s="50">
        <v>1</v>
      </c>
      <c r="E126" s="78">
        <v>46059</v>
      </c>
      <c r="F126" s="78">
        <v>46059</v>
      </c>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47"/>
      <c r="EJ126" s="47"/>
      <c r="EK126" s="47"/>
      <c r="EL126" s="47"/>
      <c r="EM126" s="47"/>
      <c r="EN126" s="47"/>
      <c r="EO126" s="47"/>
      <c r="EP126" s="47"/>
      <c r="EQ126" s="47"/>
      <c r="ER126" s="47"/>
      <c r="ES126" s="47"/>
      <c r="ET126" s="47"/>
      <c r="EU126" s="47"/>
      <c r="EV126" s="47"/>
      <c r="EW126" s="47"/>
      <c r="EX126" s="47"/>
      <c r="EY126" s="47"/>
      <c r="EZ126" s="47"/>
      <c r="FA126" s="47"/>
      <c r="FB126" s="47"/>
      <c r="FC126" s="47"/>
      <c r="FD126" s="47"/>
      <c r="FE126" s="47"/>
      <c r="FF126" s="47"/>
      <c r="FG126" s="47"/>
      <c r="FH126" s="47"/>
      <c r="FI126" s="47"/>
      <c r="FJ126" s="47"/>
      <c r="FK126" s="93"/>
      <c r="FL126" s="47"/>
      <c r="FM126" s="47"/>
      <c r="FN126" s="47"/>
      <c r="FO126" s="47"/>
      <c r="FP126" s="47"/>
      <c r="FQ126" s="47"/>
      <c r="FR126" s="47"/>
      <c r="FS126" s="47"/>
      <c r="FT126" s="47"/>
      <c r="FU126" s="47"/>
      <c r="FV126" s="47"/>
      <c r="FX126" s="47"/>
      <c r="FZ126" s="47"/>
      <c r="GB126" s="47"/>
      <c r="GD126" s="47"/>
      <c r="GF126" s="47"/>
      <c r="GH126" s="47"/>
      <c r="GJ126" s="47"/>
      <c r="GL126" s="47"/>
      <c r="GN126" s="47"/>
      <c r="GP126" s="47"/>
      <c r="GR126" s="47"/>
      <c r="GT126" s="47"/>
      <c r="GV126" s="47"/>
      <c r="GX126" s="47"/>
      <c r="GZ126" s="47"/>
      <c r="HB126" s="47"/>
      <c r="HD126" s="47"/>
      <c r="HF126" s="47"/>
      <c r="HH126" s="47"/>
      <c r="HJ126" s="47"/>
      <c r="HL126" s="47"/>
      <c r="HN126" s="47"/>
      <c r="HP126" s="47"/>
      <c r="HR126" s="47"/>
      <c r="HT126" s="47"/>
      <c r="HV126" s="47"/>
      <c r="HX126" s="47"/>
      <c r="HZ126" s="47"/>
      <c r="IB126" s="47"/>
      <c r="ID126" s="47"/>
      <c r="IF126" s="47"/>
      <c r="IH126" s="47"/>
      <c r="IJ126" s="47"/>
      <c r="IL126" s="47"/>
      <c r="IN126" s="47"/>
      <c r="IP126" s="47"/>
      <c r="IR126" s="47"/>
    </row>
    <row r="127" spans="2:252" ht="30" customHeight="1" x14ac:dyDescent="0.2">
      <c r="B127" s="36" t="s">
        <v>131</v>
      </c>
      <c r="C127" s="37"/>
      <c r="D127" s="38"/>
      <c r="E127" s="39"/>
      <c r="F127" s="40"/>
      <c r="I127" s="47"/>
    </row>
    <row r="128" spans="2:252" ht="30" customHeight="1" x14ac:dyDescent="0.2">
      <c r="B128" s="43" t="s">
        <v>28</v>
      </c>
      <c r="C128" s="44" t="s">
        <v>70</v>
      </c>
      <c r="D128" s="45">
        <v>1</v>
      </c>
      <c r="E128" s="46">
        <v>46121</v>
      </c>
      <c r="F128" s="46">
        <v>46122</v>
      </c>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47"/>
      <c r="EJ128" s="47"/>
      <c r="EK128" s="47"/>
      <c r="EL128" s="47"/>
      <c r="EM128" s="47"/>
      <c r="EN128" s="47"/>
      <c r="EO128" s="47"/>
      <c r="EP128" s="47"/>
      <c r="EQ128" s="47"/>
      <c r="ER128" s="47"/>
      <c r="ES128" s="47"/>
      <c r="ET128" s="47"/>
      <c r="EU128" s="47"/>
      <c r="EV128" s="47"/>
      <c r="EW128" s="47"/>
      <c r="EX128" s="47"/>
      <c r="EY128" s="47"/>
      <c r="EZ128" s="47"/>
      <c r="FA128" s="47"/>
      <c r="FB128" s="47"/>
      <c r="FC128" s="47"/>
      <c r="FD128" s="47"/>
      <c r="FE128" s="47"/>
      <c r="FF128" s="47"/>
      <c r="FG128" s="47"/>
      <c r="FH128" s="47"/>
      <c r="FI128" s="47"/>
      <c r="FJ128" s="47"/>
      <c r="FK128" s="47"/>
      <c r="FL128" s="47"/>
      <c r="FM128" s="47"/>
      <c r="FN128" s="47"/>
      <c r="FO128" s="47"/>
      <c r="FP128" s="47"/>
      <c r="FQ128" s="47"/>
      <c r="FR128" s="47"/>
      <c r="FS128" s="47"/>
      <c r="FT128" s="47"/>
      <c r="FU128" s="47"/>
      <c r="FV128" s="47"/>
      <c r="FW128" s="47"/>
      <c r="FX128" s="47"/>
      <c r="FY128" s="47"/>
      <c r="FZ128" s="47"/>
      <c r="GA128" s="47"/>
      <c r="GB128" s="47"/>
      <c r="GC128" s="47"/>
      <c r="GD128" s="47"/>
      <c r="GE128" s="47"/>
      <c r="GF128" s="47"/>
      <c r="GG128" s="47"/>
      <c r="GH128" s="47"/>
      <c r="GI128" s="47"/>
      <c r="GJ128" s="47"/>
      <c r="GK128" s="47"/>
      <c r="GL128" s="47"/>
      <c r="GM128" s="47"/>
      <c r="GN128" s="47"/>
      <c r="GO128" s="47"/>
      <c r="GP128" s="47"/>
      <c r="GQ128" s="47"/>
      <c r="GR128" s="47"/>
      <c r="GS128" s="47"/>
      <c r="GT128" s="47"/>
      <c r="GU128" s="47"/>
      <c r="GV128" s="47"/>
      <c r="GW128" s="47"/>
      <c r="GX128" s="47"/>
      <c r="GY128" s="47"/>
      <c r="GZ128" s="47"/>
      <c r="HA128" s="47"/>
      <c r="HB128" s="47"/>
      <c r="HC128" s="47"/>
      <c r="HD128" s="47"/>
      <c r="HE128" s="47"/>
      <c r="HF128" s="47"/>
      <c r="HG128" s="47"/>
      <c r="HH128" s="47"/>
      <c r="HI128" s="47"/>
      <c r="HJ128" s="47"/>
      <c r="HK128" s="47"/>
      <c r="HL128" s="47"/>
      <c r="HM128" s="47"/>
      <c r="HN128" s="47"/>
      <c r="HO128" s="47"/>
      <c r="HP128" s="47"/>
      <c r="HQ128" s="47"/>
      <c r="HR128" s="47"/>
      <c r="HS128" s="47"/>
      <c r="HT128" s="47"/>
      <c r="HU128" s="47"/>
      <c r="HV128" s="47"/>
      <c r="HW128" s="47"/>
      <c r="HX128" s="47"/>
      <c r="HY128" s="47"/>
      <c r="HZ128" s="47"/>
      <c r="IA128" s="47"/>
      <c r="IB128" s="47"/>
      <c r="IC128" s="47"/>
      <c r="ID128" s="47"/>
      <c r="IE128" s="47"/>
      <c r="IF128" s="47"/>
      <c r="IG128" s="47"/>
      <c r="IH128" s="47"/>
      <c r="II128" s="47"/>
      <c r="IJ128" s="47"/>
      <c r="IK128" s="47"/>
      <c r="IL128" s="47"/>
    </row>
    <row r="129" spans="2:246" ht="30" customHeight="1" x14ac:dyDescent="0.2">
      <c r="B129" s="48" t="s">
        <v>132</v>
      </c>
      <c r="C129" s="49" t="s">
        <v>60</v>
      </c>
      <c r="D129" s="50">
        <v>1</v>
      </c>
      <c r="E129" s="51">
        <v>46121</v>
      </c>
      <c r="F129" s="51">
        <f>E129+1</f>
        <v>46122</v>
      </c>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47"/>
      <c r="EO129" s="47"/>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c r="FL129" s="47"/>
      <c r="FM129" s="47"/>
      <c r="FN129" s="47"/>
      <c r="FO129" s="47"/>
      <c r="FP129" s="47"/>
      <c r="FQ129" s="47"/>
      <c r="FR129" s="47"/>
      <c r="FS129" s="47"/>
      <c r="FT129" s="47"/>
      <c r="FU129" s="47"/>
      <c r="FV129" s="47"/>
      <c r="FW129" s="47"/>
      <c r="FX129" s="47"/>
      <c r="FY129" s="47"/>
      <c r="FZ129" s="47"/>
      <c r="GA129" s="47"/>
      <c r="GB129" s="47"/>
      <c r="GC129" s="47"/>
      <c r="GD129" s="47"/>
      <c r="GE129" s="47"/>
      <c r="GF129" s="47"/>
      <c r="GG129" s="47"/>
      <c r="GH129" s="47"/>
      <c r="GI129" s="47"/>
      <c r="GJ129" s="47"/>
      <c r="GK129" s="47"/>
      <c r="GL129" s="47"/>
      <c r="GM129" s="47"/>
      <c r="GN129" s="47"/>
      <c r="GO129" s="47"/>
      <c r="GP129" s="47"/>
      <c r="GQ129" s="47"/>
      <c r="GR129" s="47"/>
      <c r="GS129" s="47"/>
      <c r="GT129" s="47"/>
      <c r="GU129" s="47"/>
      <c r="GV129" s="47"/>
      <c r="GW129" s="47"/>
      <c r="GX129" s="47"/>
      <c r="GY129" s="47"/>
      <c r="GZ129" s="47"/>
      <c r="HA129" s="47"/>
      <c r="HB129" s="47"/>
      <c r="HC129" s="47"/>
      <c r="HD129" s="47"/>
      <c r="HE129" s="47"/>
      <c r="HF129" s="47"/>
      <c r="HG129" s="47"/>
      <c r="HH129" s="47"/>
      <c r="HI129" s="47"/>
      <c r="HJ129" s="47"/>
      <c r="HK129" s="47"/>
      <c r="HL129" s="47"/>
      <c r="HM129" s="47"/>
      <c r="HN129" s="47"/>
      <c r="HO129" s="47"/>
      <c r="HP129" s="47"/>
      <c r="HQ129" s="47"/>
      <c r="HR129" s="47"/>
      <c r="HS129" s="47"/>
      <c r="HT129" s="47"/>
      <c r="HU129" s="47"/>
      <c r="HV129" s="47"/>
      <c r="HW129" s="47"/>
      <c r="HX129" s="47"/>
      <c r="HY129" s="47"/>
      <c r="HZ129" s="47"/>
      <c r="IA129" s="47"/>
      <c r="IB129" s="47"/>
      <c r="IC129" s="47"/>
      <c r="ID129" s="47"/>
      <c r="IE129" s="47"/>
      <c r="IF129" s="47"/>
      <c r="IG129" s="47"/>
      <c r="IH129" s="47"/>
      <c r="II129" s="47"/>
      <c r="IJ129" s="47"/>
      <c r="IK129" s="47"/>
      <c r="IL129" s="47"/>
    </row>
    <row r="130" spans="2:246" ht="30" customHeight="1" x14ac:dyDescent="0.2">
      <c r="B130" s="48" t="s">
        <v>133</v>
      </c>
      <c r="C130" s="49" t="s">
        <v>60</v>
      </c>
      <c r="D130" s="50">
        <v>1</v>
      </c>
      <c r="E130" s="51">
        <f>E129</f>
        <v>46121</v>
      </c>
      <c r="F130" s="51">
        <f>E130+1</f>
        <v>46122</v>
      </c>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47"/>
      <c r="EJ130" s="47"/>
      <c r="EK130" s="47"/>
      <c r="EL130" s="47"/>
      <c r="EM130" s="47"/>
      <c r="EN130" s="47"/>
      <c r="EO130" s="47"/>
      <c r="EP130" s="47"/>
      <c r="EQ130" s="47"/>
      <c r="ER130" s="47"/>
      <c r="ES130" s="47"/>
      <c r="ET130" s="47"/>
      <c r="EU130" s="47"/>
      <c r="EV130" s="47"/>
      <c r="EW130" s="47"/>
      <c r="EX130" s="47"/>
      <c r="EY130" s="47"/>
      <c r="EZ130" s="47"/>
      <c r="FA130" s="47"/>
      <c r="FB130" s="47"/>
      <c r="FC130" s="47"/>
      <c r="FD130" s="47"/>
      <c r="FE130" s="47"/>
      <c r="FF130" s="47"/>
      <c r="FG130" s="47"/>
      <c r="FH130" s="47"/>
      <c r="FI130" s="47"/>
      <c r="FJ130" s="47"/>
      <c r="FK130" s="47"/>
      <c r="FL130" s="47"/>
      <c r="FM130" s="47"/>
      <c r="FN130" s="47"/>
      <c r="FO130" s="47"/>
      <c r="FP130" s="47"/>
      <c r="FQ130" s="47"/>
      <c r="FR130" s="47"/>
      <c r="FS130" s="47"/>
      <c r="FT130" s="47"/>
      <c r="FU130" s="47"/>
      <c r="FV130" s="47"/>
      <c r="FW130" s="47"/>
      <c r="FX130" s="47"/>
      <c r="FY130" s="47"/>
      <c r="FZ130" s="47"/>
      <c r="GA130" s="47"/>
      <c r="GB130" s="47"/>
      <c r="GC130" s="47"/>
      <c r="GD130" s="47"/>
      <c r="GE130" s="47"/>
      <c r="GF130" s="47"/>
      <c r="GG130" s="47"/>
      <c r="GH130" s="47"/>
      <c r="GI130" s="47"/>
      <c r="GJ130" s="47"/>
      <c r="GK130" s="47"/>
      <c r="GL130" s="47"/>
      <c r="GM130" s="47"/>
      <c r="GN130" s="47"/>
      <c r="GO130" s="47"/>
      <c r="GP130" s="47"/>
      <c r="GQ130" s="47"/>
      <c r="GR130" s="47"/>
      <c r="GS130" s="47"/>
      <c r="GT130" s="47"/>
      <c r="GU130" s="47"/>
      <c r="GV130" s="47"/>
      <c r="GW130" s="47"/>
      <c r="GX130" s="47"/>
      <c r="GY130" s="47"/>
      <c r="GZ130" s="47"/>
      <c r="HA130" s="47"/>
      <c r="HB130" s="47"/>
      <c r="HC130" s="47"/>
      <c r="HD130" s="47"/>
      <c r="HE130" s="47"/>
      <c r="HF130" s="47"/>
      <c r="HG130" s="47"/>
      <c r="HH130" s="47"/>
      <c r="HI130" s="47"/>
      <c r="HJ130" s="47"/>
      <c r="HK130" s="47"/>
      <c r="HL130" s="47"/>
      <c r="HM130" s="47"/>
      <c r="HN130" s="47"/>
      <c r="HO130" s="47"/>
      <c r="HP130" s="47"/>
      <c r="HQ130" s="47"/>
      <c r="HR130" s="47"/>
      <c r="HS130" s="47"/>
      <c r="HT130" s="47"/>
      <c r="HU130" s="47"/>
      <c r="HV130" s="47"/>
      <c r="HW130" s="47"/>
      <c r="HX130" s="47"/>
      <c r="HY130" s="47"/>
      <c r="HZ130" s="47"/>
      <c r="IA130" s="47"/>
      <c r="IB130" s="47"/>
      <c r="IC130" s="47"/>
      <c r="ID130" s="47"/>
      <c r="IE130" s="47"/>
      <c r="IF130" s="47"/>
      <c r="IG130" s="47"/>
      <c r="IH130" s="47"/>
      <c r="II130" s="47"/>
      <c r="IJ130" s="47"/>
      <c r="IK130" s="47"/>
      <c r="IL130" s="47"/>
    </row>
    <row r="131" spans="2:246" ht="30" customHeight="1" x14ac:dyDescent="0.2">
      <c r="B131" s="48" t="s">
        <v>134</v>
      </c>
      <c r="C131" s="49" t="s">
        <v>52</v>
      </c>
      <c r="D131" s="50">
        <v>1</v>
      </c>
      <c r="E131" s="51">
        <f>E129 -2</f>
        <v>46119</v>
      </c>
      <c r="F131" s="51">
        <f>E131+2</f>
        <v>46121</v>
      </c>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47"/>
      <c r="EO131" s="47"/>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c r="FL131" s="47"/>
      <c r="FM131" s="47"/>
      <c r="FN131" s="47"/>
      <c r="FO131" s="47"/>
      <c r="FP131" s="47"/>
      <c r="FQ131" s="47"/>
      <c r="FR131" s="47"/>
      <c r="FS131" s="47"/>
      <c r="FT131" s="47"/>
      <c r="FU131" s="47"/>
      <c r="FV131" s="47"/>
      <c r="FW131" s="47"/>
      <c r="FX131" s="47"/>
      <c r="FY131" s="47"/>
      <c r="FZ131" s="47"/>
      <c r="GA131" s="47"/>
      <c r="GB131" s="47"/>
      <c r="GC131" s="47"/>
      <c r="GD131" s="47"/>
      <c r="GE131" s="47"/>
      <c r="GF131" s="47"/>
      <c r="GG131" s="47"/>
      <c r="GH131" s="47"/>
      <c r="GI131" s="47"/>
      <c r="GJ131" s="47"/>
      <c r="GK131" s="47"/>
      <c r="GL131" s="47"/>
      <c r="GM131" s="47"/>
      <c r="GN131" s="47"/>
      <c r="GO131" s="47"/>
      <c r="GP131" s="47"/>
      <c r="GQ131" s="47"/>
      <c r="GR131" s="47"/>
      <c r="GS131" s="47"/>
      <c r="GT131" s="47"/>
      <c r="GU131" s="47"/>
      <c r="GV131" s="47"/>
      <c r="GW131" s="47"/>
      <c r="GX131" s="47"/>
      <c r="GY131" s="47"/>
      <c r="GZ131" s="47"/>
      <c r="HA131" s="47"/>
      <c r="HB131" s="47"/>
      <c r="HC131" s="47"/>
      <c r="HD131" s="47"/>
      <c r="HE131" s="47"/>
      <c r="HF131" s="47"/>
      <c r="HG131" s="47"/>
      <c r="HH131" s="47"/>
      <c r="HI131" s="47"/>
      <c r="HJ131" s="47"/>
      <c r="HK131" s="47"/>
      <c r="HL131" s="47"/>
      <c r="HM131" s="47"/>
      <c r="HN131" s="47"/>
      <c r="HO131" s="47"/>
      <c r="HP131" s="47"/>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row>
    <row r="132" spans="2:246" ht="30" customHeight="1" x14ac:dyDescent="0.2">
      <c r="B132" s="48" t="s">
        <v>135</v>
      </c>
      <c r="C132" s="49" t="s">
        <v>52</v>
      </c>
      <c r="D132" s="50">
        <v>1</v>
      </c>
      <c r="E132" s="51">
        <f>F131</f>
        <v>46121</v>
      </c>
      <c r="F132" s="51">
        <f>E132+1</f>
        <v>46122</v>
      </c>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47"/>
      <c r="EJ132" s="47"/>
      <c r="EK132" s="47"/>
      <c r="EL132" s="47"/>
      <c r="EM132" s="47"/>
      <c r="EN132" s="47"/>
      <c r="EO132" s="47"/>
      <c r="EP132" s="47"/>
      <c r="EQ132" s="47"/>
      <c r="ER132" s="47"/>
      <c r="ES132" s="47"/>
      <c r="ET132" s="47"/>
      <c r="EU132" s="47"/>
      <c r="EV132" s="47"/>
      <c r="EW132" s="47"/>
      <c r="EX132" s="47"/>
      <c r="EY132" s="47"/>
      <c r="EZ132" s="47"/>
      <c r="FA132" s="47"/>
      <c r="FB132" s="47"/>
      <c r="FC132" s="47"/>
      <c r="FD132" s="47"/>
      <c r="FE132" s="47"/>
      <c r="FF132" s="47"/>
      <c r="FG132" s="47"/>
      <c r="FH132" s="47"/>
      <c r="FI132" s="47"/>
      <c r="FJ132" s="47"/>
      <c r="FK132" s="47"/>
      <c r="FL132" s="47"/>
      <c r="FM132" s="47"/>
      <c r="FN132" s="47"/>
      <c r="FO132" s="47"/>
      <c r="FP132" s="47"/>
      <c r="FQ132" s="47"/>
      <c r="FR132" s="47"/>
      <c r="FS132" s="47"/>
      <c r="FT132" s="47"/>
      <c r="FU132" s="47"/>
      <c r="FV132" s="47"/>
      <c r="FW132" s="47"/>
      <c r="FX132" s="47"/>
      <c r="FY132" s="47"/>
      <c r="FZ132" s="47"/>
      <c r="GA132" s="47"/>
      <c r="GB132" s="47"/>
      <c r="GC132" s="47"/>
      <c r="GD132" s="47"/>
      <c r="GE132" s="47"/>
      <c r="GF132" s="47"/>
      <c r="GG132" s="47"/>
      <c r="GH132" s="47"/>
      <c r="GI132" s="47"/>
      <c r="GJ132" s="47"/>
      <c r="GK132" s="47"/>
      <c r="GL132" s="47"/>
      <c r="GM132" s="47"/>
      <c r="GN132" s="47"/>
      <c r="GO132" s="47"/>
      <c r="GP132" s="47"/>
      <c r="GQ132" s="47"/>
      <c r="GR132" s="47"/>
      <c r="GS132" s="47"/>
      <c r="GT132" s="47"/>
      <c r="GU132" s="47"/>
      <c r="GV132" s="47"/>
      <c r="GW132" s="47"/>
      <c r="GX132" s="47"/>
      <c r="GY132" s="47"/>
      <c r="GZ132" s="47"/>
      <c r="HA132" s="47"/>
      <c r="HB132" s="47"/>
      <c r="HC132" s="47"/>
      <c r="HD132" s="47"/>
      <c r="HE132" s="47"/>
      <c r="HF132" s="47"/>
      <c r="HG132" s="47"/>
      <c r="HH132" s="47"/>
      <c r="HI132" s="47"/>
      <c r="HJ132" s="47"/>
      <c r="HK132" s="47"/>
      <c r="HL132" s="47"/>
      <c r="HM132" s="47"/>
      <c r="HN132" s="47"/>
      <c r="HO132" s="47"/>
      <c r="HP132" s="47"/>
      <c r="HQ132" s="47"/>
      <c r="HR132" s="47"/>
      <c r="HS132" s="47"/>
      <c r="HT132" s="47"/>
      <c r="HU132" s="47"/>
      <c r="HV132" s="47"/>
      <c r="HW132" s="47"/>
      <c r="HX132" s="47"/>
      <c r="HY132" s="47"/>
      <c r="HZ132" s="47"/>
      <c r="IA132" s="47"/>
      <c r="IB132" s="47"/>
      <c r="IC132" s="47"/>
      <c r="ID132" s="47"/>
      <c r="IE132" s="47"/>
      <c r="IF132" s="47"/>
      <c r="IG132" s="47"/>
      <c r="IH132" s="47"/>
      <c r="II132" s="47"/>
      <c r="IJ132" s="47"/>
      <c r="IK132" s="47"/>
      <c r="IL132" s="47"/>
    </row>
    <row r="133" spans="2:246" ht="30" customHeight="1" x14ac:dyDescent="0.2">
      <c r="B133" s="48" t="s">
        <v>136</v>
      </c>
      <c r="C133" s="49" t="s">
        <v>52</v>
      </c>
      <c r="D133" s="50">
        <v>1</v>
      </c>
      <c r="E133" s="51">
        <f>E131</f>
        <v>46119</v>
      </c>
      <c r="F133" s="51">
        <f>E133+2</f>
        <v>46121</v>
      </c>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47"/>
      <c r="EO133" s="47"/>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c r="FL133" s="47"/>
      <c r="FM133" s="47"/>
      <c r="FN133" s="47"/>
      <c r="FO133" s="47"/>
      <c r="FP133" s="47"/>
      <c r="FQ133" s="47"/>
      <c r="FR133" s="47"/>
      <c r="FS133" s="47"/>
      <c r="FT133" s="47"/>
      <c r="FU133" s="47"/>
      <c r="FV133" s="47"/>
      <c r="FW133" s="47"/>
      <c r="FX133" s="47"/>
      <c r="FY133" s="47"/>
      <c r="FZ133" s="47"/>
      <c r="GA133" s="47"/>
      <c r="GB133" s="47"/>
      <c r="GC133" s="47"/>
      <c r="GD133" s="47"/>
      <c r="GE133" s="47"/>
      <c r="GF133" s="47"/>
      <c r="GG133" s="47"/>
      <c r="GH133" s="47"/>
      <c r="GI133" s="47"/>
      <c r="GJ133" s="47"/>
      <c r="GK133" s="47"/>
      <c r="GL133" s="47"/>
      <c r="GM133" s="47"/>
      <c r="GN133" s="47"/>
      <c r="GO133" s="47"/>
      <c r="GP133" s="47"/>
      <c r="GQ133" s="47"/>
      <c r="GR133" s="47"/>
      <c r="GS133" s="47"/>
      <c r="GT133" s="47"/>
      <c r="GU133" s="47"/>
      <c r="GV133" s="47"/>
      <c r="GW133" s="47"/>
      <c r="GX133" s="47"/>
      <c r="GY133" s="47"/>
      <c r="GZ133" s="47"/>
      <c r="HA133" s="47"/>
      <c r="HB133" s="47"/>
      <c r="HC133" s="47"/>
      <c r="HD133" s="47"/>
      <c r="HE133" s="47"/>
      <c r="HF133" s="47"/>
      <c r="HG133" s="47"/>
      <c r="HH133" s="47"/>
      <c r="HI133" s="47"/>
      <c r="HJ133" s="47"/>
      <c r="HK133" s="47"/>
      <c r="HL133" s="47"/>
      <c r="HM133" s="47"/>
      <c r="HN133" s="47"/>
      <c r="HO133" s="47"/>
      <c r="HP133" s="47"/>
      <c r="HQ133" s="47"/>
      <c r="HR133" s="47"/>
      <c r="HS133" s="47"/>
      <c r="HT133" s="47"/>
      <c r="HU133" s="47"/>
      <c r="HV133" s="47"/>
      <c r="HW133" s="47"/>
      <c r="HX133" s="47"/>
      <c r="HY133" s="47"/>
      <c r="HZ133" s="47"/>
      <c r="IA133" s="47"/>
      <c r="IB133" s="47"/>
      <c r="IC133" s="47"/>
      <c r="ID133" s="47"/>
      <c r="IE133" s="47"/>
      <c r="IF133" s="47"/>
      <c r="IG133" s="47"/>
      <c r="IH133" s="47"/>
      <c r="II133" s="47"/>
      <c r="IJ133" s="47"/>
      <c r="IK133" s="47"/>
      <c r="IL133" s="47"/>
    </row>
    <row r="134" spans="2:246" ht="30" customHeight="1" x14ac:dyDescent="0.2">
      <c r="B134" s="48" t="s">
        <v>137</v>
      </c>
      <c r="C134" s="49" t="s">
        <v>60</v>
      </c>
      <c r="D134" s="50">
        <v>1</v>
      </c>
      <c r="E134" s="51">
        <f>F132-1</f>
        <v>46121</v>
      </c>
      <c r="F134" s="51">
        <f>F133+1</f>
        <v>46122</v>
      </c>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47"/>
      <c r="EO134" s="47"/>
      <c r="EP134" s="47"/>
      <c r="EQ134" s="47"/>
      <c r="ER134" s="47"/>
      <c r="ES134" s="47"/>
      <c r="ET134" s="47"/>
      <c r="EU134" s="47"/>
      <c r="EV134" s="47"/>
      <c r="EW134" s="47"/>
      <c r="EX134" s="47"/>
      <c r="EY134" s="47"/>
      <c r="EZ134" s="47"/>
      <c r="FA134" s="47"/>
      <c r="FB134" s="47"/>
      <c r="FC134" s="47"/>
      <c r="FD134" s="47"/>
      <c r="FE134" s="47"/>
      <c r="FF134" s="47"/>
      <c r="FG134" s="47"/>
      <c r="FH134" s="47"/>
      <c r="FI134" s="47"/>
      <c r="FJ134" s="47"/>
      <c r="FK134" s="47"/>
      <c r="FL134" s="47"/>
      <c r="FM134" s="47"/>
      <c r="FN134" s="47"/>
      <c r="FO134" s="47"/>
      <c r="FP134" s="47"/>
      <c r="FQ134" s="47"/>
      <c r="FR134" s="47"/>
      <c r="FS134" s="47"/>
      <c r="FT134" s="47"/>
      <c r="FU134" s="47"/>
      <c r="FV134" s="47"/>
      <c r="FW134" s="47"/>
      <c r="FX134" s="47"/>
      <c r="FY134" s="47"/>
      <c r="FZ134" s="47"/>
      <c r="GA134" s="47"/>
      <c r="GB134" s="47"/>
      <c r="GC134" s="47"/>
      <c r="GD134" s="47"/>
      <c r="GE134" s="47"/>
      <c r="GF134" s="47"/>
      <c r="GG134" s="47"/>
      <c r="GH134" s="47"/>
      <c r="GI134" s="47"/>
      <c r="GJ134" s="47"/>
      <c r="GK134" s="47"/>
      <c r="GL134" s="47"/>
      <c r="GM134" s="47"/>
      <c r="GN134" s="47"/>
      <c r="GO134" s="47"/>
      <c r="GP134" s="47"/>
      <c r="GQ134" s="47"/>
      <c r="GR134" s="47"/>
      <c r="GS134" s="47"/>
      <c r="GT134" s="47"/>
      <c r="GU134" s="47"/>
      <c r="GV134" s="47"/>
      <c r="GW134" s="47"/>
      <c r="GX134" s="47"/>
      <c r="GY134" s="47"/>
      <c r="GZ134" s="47"/>
      <c r="HA134" s="47"/>
      <c r="HB134" s="47"/>
      <c r="HC134" s="47"/>
      <c r="HD134" s="47"/>
      <c r="HE134" s="47"/>
      <c r="HF134" s="47"/>
      <c r="HG134" s="47"/>
      <c r="HH134" s="47"/>
      <c r="HI134" s="47"/>
      <c r="HJ134" s="47"/>
      <c r="HK134" s="47"/>
      <c r="HL134" s="47"/>
      <c r="HM134" s="47"/>
      <c r="HN134" s="47"/>
      <c r="HO134" s="47"/>
      <c r="HP134" s="47"/>
      <c r="HQ134" s="47"/>
      <c r="HR134" s="47"/>
      <c r="HS134" s="47"/>
      <c r="HT134" s="47"/>
      <c r="HU134" s="47"/>
      <c r="HV134" s="47"/>
      <c r="HW134" s="47"/>
      <c r="HX134" s="47"/>
      <c r="HY134" s="47"/>
      <c r="HZ134" s="47"/>
      <c r="IA134" s="47"/>
      <c r="IB134" s="47"/>
      <c r="IC134" s="47"/>
      <c r="ID134" s="47"/>
      <c r="IE134" s="47"/>
      <c r="IF134" s="47"/>
      <c r="IG134" s="47"/>
      <c r="IH134" s="47"/>
      <c r="II134" s="47"/>
      <c r="IJ134" s="47"/>
      <c r="IK134" s="47"/>
      <c r="IL134" s="47"/>
    </row>
    <row r="135" spans="2:246" ht="30" customHeight="1" x14ac:dyDescent="0.2">
      <c r="B135" s="48" t="s">
        <v>138</v>
      </c>
      <c r="C135" s="49" t="s">
        <v>60</v>
      </c>
      <c r="D135" s="50">
        <v>1</v>
      </c>
      <c r="E135" s="51">
        <f>F134-1</f>
        <v>46121</v>
      </c>
      <c r="F135" s="51">
        <f>E135+1</f>
        <v>46122</v>
      </c>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47"/>
      <c r="EO135" s="47"/>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c r="FL135" s="47"/>
      <c r="FM135" s="47"/>
      <c r="FN135" s="47"/>
      <c r="FO135" s="47"/>
      <c r="FP135" s="47"/>
      <c r="FQ135" s="47"/>
      <c r="FR135" s="47"/>
      <c r="FS135" s="47"/>
      <c r="FT135" s="47"/>
      <c r="FU135" s="47"/>
      <c r="FV135" s="47"/>
      <c r="FW135" s="47"/>
      <c r="FX135" s="47"/>
      <c r="FY135" s="47"/>
      <c r="FZ135" s="47"/>
      <c r="GA135" s="47"/>
      <c r="GB135" s="47"/>
      <c r="GC135" s="47"/>
      <c r="GD135" s="47"/>
      <c r="GE135" s="47"/>
      <c r="GF135" s="47"/>
      <c r="GG135" s="47"/>
      <c r="GH135" s="47"/>
      <c r="GI135" s="47"/>
      <c r="GJ135" s="47"/>
      <c r="GK135" s="47"/>
      <c r="GL135" s="47"/>
      <c r="GM135" s="47"/>
      <c r="GN135" s="47"/>
      <c r="GO135" s="47"/>
      <c r="GP135" s="47"/>
      <c r="GQ135" s="47"/>
      <c r="GR135" s="47"/>
      <c r="GS135" s="47"/>
      <c r="GT135" s="47"/>
      <c r="GU135" s="47"/>
      <c r="GV135" s="47"/>
      <c r="GW135" s="47"/>
      <c r="GX135" s="47"/>
      <c r="GY135" s="47"/>
      <c r="GZ135" s="47"/>
      <c r="HA135" s="47"/>
      <c r="HB135" s="47"/>
      <c r="HC135" s="47"/>
      <c r="HD135" s="47"/>
      <c r="HE135" s="47"/>
      <c r="HF135" s="47"/>
      <c r="HG135" s="47"/>
      <c r="HH135" s="47"/>
      <c r="HI135" s="47"/>
      <c r="HJ135" s="47"/>
      <c r="HK135" s="47"/>
      <c r="HL135" s="47"/>
      <c r="HM135" s="47"/>
      <c r="HN135" s="47"/>
      <c r="HO135" s="47"/>
      <c r="HP135" s="47"/>
      <c r="HQ135" s="47"/>
      <c r="HR135" s="47"/>
      <c r="HS135" s="47"/>
      <c r="HT135" s="47"/>
      <c r="HU135" s="47"/>
      <c r="HV135" s="47"/>
      <c r="HW135" s="47"/>
      <c r="HX135" s="47"/>
      <c r="HY135" s="47"/>
      <c r="HZ135" s="47"/>
      <c r="IA135" s="47"/>
      <c r="IB135" s="47"/>
      <c r="IC135" s="47"/>
      <c r="ID135" s="47"/>
      <c r="IE135" s="47"/>
      <c r="IF135" s="47"/>
      <c r="IG135" s="47"/>
      <c r="IH135" s="47"/>
      <c r="II135" s="47"/>
      <c r="IJ135" s="47"/>
      <c r="IK135" s="47"/>
      <c r="IL135" s="47"/>
    </row>
    <row r="136" spans="2:246" ht="30" customHeight="1" x14ac:dyDescent="0.2">
      <c r="B136" s="48" t="s">
        <v>139</v>
      </c>
      <c r="C136" s="49" t="s">
        <v>60</v>
      </c>
      <c r="D136" s="50">
        <v>1</v>
      </c>
      <c r="E136" s="51">
        <f>E135</f>
        <v>46121</v>
      </c>
      <c r="F136" s="51">
        <f>E136</f>
        <v>46121</v>
      </c>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47"/>
      <c r="EJ136" s="47"/>
      <c r="EK136" s="47"/>
      <c r="EL136" s="47"/>
      <c r="EM136" s="47"/>
      <c r="EN136" s="47"/>
      <c r="EO136" s="47"/>
      <c r="EP136" s="47"/>
      <c r="EQ136" s="47"/>
      <c r="ER136" s="47"/>
      <c r="ES136" s="47"/>
      <c r="ET136" s="47"/>
      <c r="EU136" s="47"/>
      <c r="EV136" s="47"/>
      <c r="EW136" s="47"/>
      <c r="EX136" s="47"/>
      <c r="EY136" s="47"/>
      <c r="EZ136" s="47"/>
      <c r="FA136" s="47"/>
      <c r="FB136" s="47"/>
      <c r="FC136" s="47"/>
      <c r="FD136" s="47"/>
      <c r="FE136" s="47"/>
      <c r="FF136" s="47"/>
      <c r="FG136" s="47"/>
      <c r="FH136" s="47"/>
      <c r="FI136" s="47"/>
      <c r="FJ136" s="47"/>
      <c r="FK136" s="47"/>
      <c r="FL136" s="47"/>
      <c r="FM136" s="47"/>
      <c r="FN136" s="47"/>
      <c r="FO136" s="47"/>
      <c r="FP136" s="47"/>
      <c r="FQ136" s="47"/>
      <c r="FR136" s="47"/>
      <c r="FS136" s="47"/>
      <c r="FT136" s="47"/>
      <c r="FU136" s="47"/>
      <c r="FV136" s="47"/>
      <c r="FW136" s="47"/>
      <c r="FX136" s="47"/>
      <c r="FY136" s="47"/>
      <c r="FZ136" s="47"/>
      <c r="GA136" s="47"/>
      <c r="GB136" s="47"/>
      <c r="GC136" s="47"/>
      <c r="GD136" s="47"/>
      <c r="GE136" s="47"/>
      <c r="GF136" s="47"/>
      <c r="GG136" s="47"/>
      <c r="GH136" s="47"/>
      <c r="GI136" s="47"/>
      <c r="GJ136" s="47"/>
      <c r="GK136" s="47"/>
      <c r="GL136" s="47"/>
      <c r="GM136" s="47"/>
      <c r="GN136" s="47"/>
      <c r="GO136" s="47"/>
      <c r="GP136" s="47"/>
      <c r="GQ136" s="47"/>
      <c r="GR136" s="47"/>
      <c r="GS136" s="47"/>
      <c r="GT136" s="47"/>
      <c r="GU136" s="47"/>
      <c r="GV136" s="47"/>
      <c r="GW136" s="47"/>
      <c r="GX136" s="47"/>
      <c r="GY136" s="47"/>
      <c r="GZ136" s="47"/>
      <c r="HA136" s="47"/>
      <c r="HB136" s="47"/>
      <c r="HC136" s="47"/>
      <c r="HD136" s="47"/>
      <c r="HE136" s="47"/>
      <c r="HF136" s="47"/>
      <c r="HG136" s="47"/>
      <c r="HH136" s="47"/>
      <c r="HI136" s="47"/>
      <c r="HJ136" s="47"/>
      <c r="HK136" s="47"/>
      <c r="HL136" s="47"/>
      <c r="HM136" s="47"/>
      <c r="HN136" s="47"/>
      <c r="HO136" s="47"/>
      <c r="HP136" s="47"/>
      <c r="HQ136" s="47"/>
      <c r="HR136" s="47"/>
      <c r="HS136" s="47"/>
      <c r="HT136" s="47"/>
      <c r="HU136" s="47"/>
      <c r="HV136" s="47"/>
      <c r="HW136" s="47"/>
      <c r="HX136" s="47"/>
      <c r="HY136" s="47"/>
      <c r="HZ136" s="47"/>
      <c r="IA136" s="47"/>
      <c r="IB136" s="47"/>
      <c r="IC136" s="47"/>
      <c r="ID136" s="47"/>
      <c r="IE136" s="47"/>
      <c r="IF136" s="47"/>
      <c r="IG136" s="47"/>
      <c r="IH136" s="47"/>
      <c r="II136" s="47"/>
      <c r="IJ136" s="47"/>
      <c r="IK136" s="47"/>
      <c r="IL136" s="47"/>
    </row>
    <row r="137" spans="2:246" ht="30" customHeight="1" x14ac:dyDescent="0.2">
      <c r="B137" s="48" t="s">
        <v>140</v>
      </c>
      <c r="C137" s="49" t="s">
        <v>60</v>
      </c>
      <c r="D137" s="50">
        <v>1</v>
      </c>
      <c r="E137" s="51">
        <f t="shared" ref="E137:E142" si="16">E136</f>
        <v>46121</v>
      </c>
      <c r="F137" s="51">
        <f t="shared" ref="F137:F149" si="17">E137</f>
        <v>46121</v>
      </c>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47"/>
      <c r="EO137" s="47"/>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c r="FL137" s="47"/>
      <c r="FM137" s="47"/>
      <c r="FN137" s="47"/>
      <c r="FO137" s="47"/>
      <c r="FP137" s="47"/>
      <c r="FQ137" s="47"/>
      <c r="FR137" s="47"/>
      <c r="FS137" s="47"/>
      <c r="FT137" s="47"/>
      <c r="FU137" s="47"/>
      <c r="FV137" s="47"/>
      <c r="FW137" s="47"/>
      <c r="FX137" s="47"/>
      <c r="FY137" s="47"/>
      <c r="FZ137" s="47"/>
      <c r="GA137" s="47"/>
      <c r="GB137" s="47"/>
      <c r="GC137" s="47"/>
      <c r="GD137" s="47"/>
      <c r="GE137" s="47"/>
      <c r="GF137" s="47"/>
      <c r="GG137" s="47"/>
      <c r="GH137" s="47"/>
      <c r="GI137" s="47"/>
      <c r="GJ137" s="47"/>
      <c r="GK137" s="47"/>
      <c r="GL137" s="47"/>
      <c r="GM137" s="47"/>
      <c r="GN137" s="47"/>
      <c r="GO137" s="47"/>
      <c r="GP137" s="47"/>
      <c r="GQ137" s="47"/>
      <c r="GR137" s="47"/>
      <c r="GS137" s="47"/>
      <c r="GT137" s="47"/>
      <c r="GU137" s="47"/>
      <c r="GV137" s="47"/>
      <c r="GW137" s="47"/>
      <c r="GX137" s="47"/>
      <c r="GY137" s="47"/>
      <c r="GZ137" s="47"/>
      <c r="HA137" s="47"/>
      <c r="HB137" s="47"/>
      <c r="HC137" s="47"/>
      <c r="HD137" s="47"/>
      <c r="HE137" s="47"/>
      <c r="HF137" s="47"/>
      <c r="HG137" s="47"/>
      <c r="HH137" s="47"/>
      <c r="HI137" s="47"/>
      <c r="HJ137" s="47"/>
      <c r="HK137" s="47"/>
      <c r="HL137" s="47"/>
      <c r="HM137" s="47"/>
      <c r="HN137" s="47"/>
      <c r="HO137" s="47"/>
      <c r="HP137" s="47"/>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row>
    <row r="138" spans="2:246" ht="30" customHeight="1" x14ac:dyDescent="0.2">
      <c r="B138" s="48" t="s">
        <v>141</v>
      </c>
      <c r="C138" s="49" t="s">
        <v>60</v>
      </c>
      <c r="D138" s="50">
        <v>1</v>
      </c>
      <c r="E138" s="51">
        <f t="shared" si="16"/>
        <v>46121</v>
      </c>
      <c r="F138" s="51">
        <f t="shared" si="17"/>
        <v>46121</v>
      </c>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47"/>
      <c r="EJ138" s="47"/>
      <c r="EK138" s="47"/>
      <c r="EL138" s="47"/>
      <c r="EM138" s="47"/>
      <c r="EN138" s="47"/>
      <c r="EO138" s="47"/>
      <c r="EP138" s="47"/>
      <c r="EQ138" s="47"/>
      <c r="ER138" s="47"/>
      <c r="ES138" s="47"/>
      <c r="ET138" s="47"/>
      <c r="EU138" s="47"/>
      <c r="EV138" s="47"/>
      <c r="EW138" s="47"/>
      <c r="EX138" s="47"/>
      <c r="EY138" s="47"/>
      <c r="EZ138" s="47"/>
      <c r="FA138" s="47"/>
      <c r="FB138" s="47"/>
      <c r="FC138" s="47"/>
      <c r="FD138" s="47"/>
      <c r="FE138" s="47"/>
      <c r="FF138" s="47"/>
      <c r="FG138" s="47"/>
      <c r="FH138" s="47"/>
      <c r="FI138" s="47"/>
      <c r="FJ138" s="47"/>
      <c r="FK138" s="47"/>
      <c r="FL138" s="47"/>
      <c r="FM138" s="47"/>
      <c r="FN138" s="47"/>
      <c r="FO138" s="47"/>
      <c r="FP138" s="47"/>
      <c r="FQ138" s="47"/>
      <c r="FR138" s="47"/>
      <c r="FS138" s="47"/>
      <c r="FT138" s="47"/>
      <c r="FU138" s="47"/>
      <c r="FV138" s="47"/>
      <c r="FW138" s="47"/>
      <c r="FX138" s="47"/>
      <c r="FY138" s="47"/>
      <c r="FZ138" s="47"/>
      <c r="GA138" s="47"/>
      <c r="GB138" s="47"/>
      <c r="GC138" s="47"/>
      <c r="GD138" s="47"/>
      <c r="GE138" s="47"/>
      <c r="GF138" s="47"/>
      <c r="GG138" s="47"/>
      <c r="GH138" s="47"/>
      <c r="GI138" s="47"/>
      <c r="GJ138" s="47"/>
      <c r="GK138" s="47"/>
      <c r="GL138" s="47"/>
      <c r="GM138" s="47"/>
      <c r="GN138" s="47"/>
      <c r="GO138" s="47"/>
      <c r="GP138" s="47"/>
      <c r="GQ138" s="47"/>
      <c r="GR138" s="47"/>
      <c r="GS138" s="47"/>
      <c r="GT138" s="47"/>
      <c r="GU138" s="47"/>
      <c r="GV138" s="47"/>
      <c r="GW138" s="47"/>
      <c r="GX138" s="47"/>
      <c r="GY138" s="47"/>
      <c r="GZ138" s="47"/>
      <c r="HA138" s="47"/>
      <c r="HB138" s="47"/>
      <c r="HC138" s="47"/>
      <c r="HD138" s="47"/>
      <c r="HE138" s="47"/>
      <c r="HF138" s="47"/>
      <c r="HG138" s="47"/>
      <c r="HH138" s="47"/>
      <c r="HI138" s="47"/>
      <c r="HJ138" s="47"/>
      <c r="HK138" s="47"/>
      <c r="HL138" s="47"/>
      <c r="HM138" s="47"/>
      <c r="HN138" s="47"/>
      <c r="HO138" s="47"/>
      <c r="HP138" s="47"/>
      <c r="HQ138" s="47"/>
      <c r="HR138" s="47"/>
      <c r="HS138" s="47"/>
      <c r="HT138" s="47"/>
      <c r="HU138" s="47"/>
      <c r="HV138" s="47"/>
      <c r="HW138" s="47"/>
      <c r="HX138" s="47"/>
      <c r="HY138" s="47"/>
      <c r="HZ138" s="47"/>
      <c r="IA138" s="47"/>
      <c r="IB138" s="47"/>
      <c r="IC138" s="47"/>
      <c r="ID138" s="47"/>
      <c r="IE138" s="47"/>
      <c r="IF138" s="47"/>
      <c r="IG138" s="47"/>
      <c r="IH138" s="47"/>
      <c r="II138" s="47"/>
      <c r="IJ138" s="47"/>
      <c r="IK138" s="47"/>
      <c r="IL138" s="47"/>
    </row>
    <row r="139" spans="2:246" ht="30" customHeight="1" x14ac:dyDescent="0.2">
      <c r="B139" s="48" t="s">
        <v>142</v>
      </c>
      <c r="C139" s="49" t="s">
        <v>60</v>
      </c>
      <c r="D139" s="50">
        <v>1</v>
      </c>
      <c r="E139" s="51">
        <f>E138+1</f>
        <v>46122</v>
      </c>
      <c r="F139" s="51">
        <f t="shared" si="17"/>
        <v>46122</v>
      </c>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47"/>
      <c r="EO139" s="47"/>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c r="FL139" s="47"/>
      <c r="FM139" s="47"/>
      <c r="FN139" s="47"/>
      <c r="FO139" s="47"/>
      <c r="FP139" s="47"/>
      <c r="FQ139" s="47"/>
      <c r="FR139" s="47"/>
      <c r="FS139" s="47"/>
      <c r="FT139" s="47"/>
      <c r="FU139" s="47"/>
      <c r="FV139" s="47"/>
      <c r="FW139" s="47"/>
      <c r="FX139" s="47"/>
      <c r="FY139" s="47"/>
      <c r="FZ139" s="47"/>
      <c r="GA139" s="47"/>
      <c r="GB139" s="47"/>
      <c r="GC139" s="47"/>
      <c r="GD139" s="47"/>
      <c r="GE139" s="47"/>
      <c r="GF139" s="47"/>
      <c r="GG139" s="47"/>
      <c r="GH139" s="47"/>
      <c r="GI139" s="47"/>
      <c r="GJ139" s="47"/>
      <c r="GK139" s="47"/>
      <c r="GL139" s="47"/>
      <c r="GM139" s="47"/>
      <c r="GN139" s="47"/>
      <c r="GO139" s="47"/>
      <c r="GP139" s="47"/>
      <c r="GQ139" s="47"/>
      <c r="GR139" s="47"/>
      <c r="GS139" s="47"/>
      <c r="GT139" s="47"/>
      <c r="GU139" s="47"/>
      <c r="GV139" s="47"/>
      <c r="GW139" s="47"/>
      <c r="GX139" s="47"/>
      <c r="GY139" s="47"/>
      <c r="GZ139" s="47"/>
      <c r="HA139" s="47"/>
      <c r="HB139" s="47"/>
      <c r="HC139" s="47"/>
      <c r="HD139" s="47"/>
      <c r="HE139" s="47"/>
      <c r="HF139" s="47"/>
      <c r="HG139" s="47"/>
      <c r="HH139" s="47"/>
      <c r="HI139" s="47"/>
      <c r="HJ139" s="47"/>
      <c r="HK139" s="47"/>
      <c r="HL139" s="47"/>
      <c r="HM139" s="47"/>
      <c r="HN139" s="47"/>
      <c r="HO139" s="47"/>
      <c r="HP139" s="47"/>
      <c r="HQ139" s="47"/>
      <c r="HR139" s="47"/>
      <c r="HS139" s="47"/>
      <c r="HT139" s="47"/>
      <c r="HU139" s="47"/>
      <c r="HV139" s="47"/>
      <c r="HW139" s="47"/>
      <c r="HX139" s="47"/>
      <c r="HY139" s="47"/>
      <c r="HZ139" s="47"/>
      <c r="IA139" s="47"/>
      <c r="IB139" s="47"/>
      <c r="IC139" s="47"/>
      <c r="ID139" s="47"/>
      <c r="IE139" s="47"/>
      <c r="IF139" s="47"/>
      <c r="IG139" s="47"/>
      <c r="IH139" s="47"/>
      <c r="II139" s="47"/>
      <c r="IJ139" s="47"/>
      <c r="IK139" s="47"/>
      <c r="IL139" s="47"/>
    </row>
    <row r="140" spans="2:246" ht="30" customHeight="1" x14ac:dyDescent="0.2">
      <c r="B140" s="48" t="s">
        <v>143</v>
      </c>
      <c r="C140" s="49" t="s">
        <v>60</v>
      </c>
      <c r="D140" s="50">
        <v>1</v>
      </c>
      <c r="E140" s="51">
        <f t="shared" si="16"/>
        <v>46122</v>
      </c>
      <c r="F140" s="51">
        <f t="shared" si="17"/>
        <v>46122</v>
      </c>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47"/>
      <c r="EJ140" s="47"/>
      <c r="EK140" s="47"/>
      <c r="EL140" s="47"/>
      <c r="EM140" s="47"/>
      <c r="EN140" s="47"/>
      <c r="EO140" s="47"/>
      <c r="EP140" s="47"/>
      <c r="EQ140" s="47"/>
      <c r="ER140" s="47"/>
      <c r="ES140" s="47"/>
      <c r="ET140" s="47"/>
      <c r="EU140" s="47"/>
      <c r="EV140" s="47"/>
      <c r="EW140" s="47"/>
      <c r="EX140" s="47"/>
      <c r="EY140" s="47"/>
      <c r="EZ140" s="47"/>
      <c r="FA140" s="47"/>
      <c r="FB140" s="47"/>
      <c r="FC140" s="47"/>
      <c r="FD140" s="47"/>
      <c r="FE140" s="47"/>
      <c r="FF140" s="47"/>
      <c r="FG140" s="47"/>
      <c r="FH140" s="47"/>
      <c r="FI140" s="47"/>
      <c r="FJ140" s="47"/>
      <c r="FK140" s="47"/>
      <c r="FL140" s="47"/>
      <c r="FM140" s="47"/>
      <c r="FN140" s="47"/>
      <c r="FO140" s="47"/>
      <c r="FP140" s="47"/>
      <c r="FQ140" s="47"/>
      <c r="FR140" s="47"/>
      <c r="FS140" s="47"/>
      <c r="FT140" s="47"/>
      <c r="FU140" s="47"/>
      <c r="FV140" s="47"/>
      <c r="FW140" s="47"/>
      <c r="FX140" s="47"/>
      <c r="FY140" s="47"/>
      <c r="FZ140" s="47"/>
      <c r="GA140" s="47"/>
      <c r="GB140" s="47"/>
      <c r="GC140" s="47"/>
      <c r="GD140" s="47"/>
      <c r="GE140" s="47"/>
      <c r="GF140" s="47"/>
      <c r="GG140" s="47"/>
      <c r="GH140" s="47"/>
      <c r="GI140" s="47"/>
      <c r="GJ140" s="47"/>
      <c r="GK140" s="47"/>
      <c r="GL140" s="47"/>
      <c r="GM140" s="47"/>
      <c r="GN140" s="47"/>
      <c r="GO140" s="47"/>
      <c r="GP140" s="47"/>
      <c r="GQ140" s="47"/>
      <c r="GR140" s="47"/>
      <c r="GS140" s="47"/>
      <c r="GT140" s="47"/>
      <c r="GU140" s="47"/>
      <c r="GV140" s="47"/>
      <c r="GW140" s="47"/>
      <c r="GX140" s="47"/>
      <c r="GY140" s="47"/>
      <c r="GZ140" s="47"/>
      <c r="HA140" s="47"/>
      <c r="HB140" s="47"/>
      <c r="HC140" s="47"/>
      <c r="HD140" s="47"/>
      <c r="HE140" s="47"/>
      <c r="HF140" s="47"/>
      <c r="HG140" s="47"/>
      <c r="HH140" s="47"/>
      <c r="HI140" s="47"/>
      <c r="HJ140" s="47"/>
      <c r="HK140" s="47"/>
      <c r="HL140" s="47"/>
      <c r="HM140" s="47"/>
      <c r="HN140" s="47"/>
      <c r="HO140" s="47"/>
      <c r="HP140" s="47"/>
      <c r="HQ140" s="47"/>
      <c r="HR140" s="47"/>
      <c r="HS140" s="47"/>
      <c r="HT140" s="47"/>
      <c r="HU140" s="47"/>
      <c r="HV140" s="47"/>
      <c r="HW140" s="47"/>
      <c r="HX140" s="47"/>
      <c r="HY140" s="47"/>
      <c r="HZ140" s="47"/>
      <c r="IA140" s="47"/>
      <c r="IB140" s="47"/>
      <c r="IC140" s="47"/>
      <c r="ID140" s="47"/>
      <c r="IE140" s="47"/>
      <c r="IF140" s="47"/>
      <c r="IG140" s="47"/>
      <c r="IH140" s="47"/>
      <c r="II140" s="47"/>
      <c r="IJ140" s="47"/>
      <c r="IK140" s="47"/>
      <c r="IL140" s="47"/>
    </row>
    <row r="141" spans="2:246" ht="30" customHeight="1" x14ac:dyDescent="0.2">
      <c r="B141" s="48" t="s">
        <v>144</v>
      </c>
      <c r="C141" s="49" t="s">
        <v>60</v>
      </c>
      <c r="D141" s="50">
        <v>1</v>
      </c>
      <c r="E141" s="51">
        <f t="shared" si="16"/>
        <v>46122</v>
      </c>
      <c r="F141" s="51">
        <f t="shared" si="17"/>
        <v>46122</v>
      </c>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47"/>
      <c r="EO141" s="47"/>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c r="FL141" s="47"/>
      <c r="FM141" s="47"/>
      <c r="FN141" s="47"/>
      <c r="FO141" s="47"/>
      <c r="FP141" s="47"/>
      <c r="FQ141" s="47"/>
      <c r="FR141" s="47"/>
      <c r="FS141" s="47"/>
      <c r="FT141" s="47"/>
      <c r="FU141" s="47"/>
      <c r="FV141" s="47"/>
      <c r="FW141" s="47"/>
      <c r="FX141" s="47"/>
      <c r="FY141" s="47"/>
      <c r="FZ141" s="47"/>
      <c r="GA141" s="47"/>
      <c r="GB141" s="47"/>
      <c r="GC141" s="47"/>
      <c r="GD141" s="47"/>
      <c r="GE141" s="47"/>
      <c r="GF141" s="47"/>
      <c r="GG141" s="47"/>
      <c r="GH141" s="47"/>
      <c r="GI141" s="47"/>
      <c r="GJ141" s="47"/>
      <c r="GK141" s="47"/>
      <c r="GL141" s="47"/>
      <c r="GM141" s="47"/>
      <c r="GN141" s="47"/>
      <c r="GO141" s="47"/>
      <c r="GP141" s="47"/>
      <c r="GQ141" s="47"/>
      <c r="GR141" s="47"/>
      <c r="GS141" s="47"/>
      <c r="GT141" s="47"/>
      <c r="GU141" s="47"/>
      <c r="GV141" s="47"/>
      <c r="GW141" s="47"/>
      <c r="GX141" s="47"/>
      <c r="GY141" s="47"/>
      <c r="GZ141" s="47"/>
      <c r="HA141" s="47"/>
      <c r="HB141" s="47"/>
      <c r="HC141" s="47"/>
      <c r="HD141" s="47"/>
      <c r="HE141" s="47"/>
      <c r="HF141" s="47"/>
      <c r="HG141" s="47"/>
      <c r="HH141" s="47"/>
      <c r="HI141" s="47"/>
      <c r="HJ141" s="47"/>
      <c r="HK141" s="47"/>
      <c r="HL141" s="47"/>
      <c r="HM141" s="47"/>
      <c r="HN141" s="47"/>
      <c r="HO141" s="47"/>
      <c r="HP141" s="47"/>
      <c r="HQ141" s="47"/>
      <c r="HR141" s="47"/>
      <c r="HS141" s="47"/>
      <c r="HT141" s="47"/>
      <c r="HU141" s="47"/>
      <c r="HV141" s="47"/>
      <c r="HW141" s="47"/>
      <c r="HX141" s="47"/>
      <c r="HY141" s="47"/>
      <c r="HZ141" s="47"/>
      <c r="IA141" s="47"/>
      <c r="IB141" s="47"/>
      <c r="IC141" s="47"/>
      <c r="ID141" s="47"/>
      <c r="IE141" s="47"/>
      <c r="IF141" s="47"/>
      <c r="IG141" s="47"/>
      <c r="IH141" s="47"/>
      <c r="II141" s="47"/>
      <c r="IJ141" s="47"/>
      <c r="IK141" s="47"/>
      <c r="IL141" s="47"/>
    </row>
    <row r="142" spans="2:246" ht="30" customHeight="1" x14ac:dyDescent="0.2">
      <c r="B142" s="48" t="s">
        <v>145</v>
      </c>
      <c r="C142" s="49" t="s">
        <v>60</v>
      </c>
      <c r="D142" s="50">
        <v>1</v>
      </c>
      <c r="E142" s="51">
        <f t="shared" si="16"/>
        <v>46122</v>
      </c>
      <c r="F142" s="51">
        <f t="shared" si="17"/>
        <v>46122</v>
      </c>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47"/>
      <c r="EJ142" s="47"/>
      <c r="EK142" s="47"/>
      <c r="EL142" s="47"/>
      <c r="EM142" s="47"/>
      <c r="EN142" s="47"/>
      <c r="EO142" s="47"/>
      <c r="EP142" s="47"/>
      <c r="EQ142" s="47"/>
      <c r="ER142" s="47"/>
      <c r="ES142" s="47"/>
      <c r="ET142" s="47"/>
      <c r="EU142" s="47"/>
      <c r="EV142" s="47"/>
      <c r="EW142" s="47"/>
      <c r="EX142" s="47"/>
      <c r="EY142" s="47"/>
      <c r="EZ142" s="47"/>
      <c r="FA142" s="47"/>
      <c r="FB142" s="47"/>
      <c r="FC142" s="47"/>
      <c r="FD142" s="47"/>
      <c r="FE142" s="47"/>
      <c r="FF142" s="47"/>
      <c r="FG142" s="47"/>
      <c r="FH142" s="47"/>
      <c r="FI142" s="47"/>
      <c r="FJ142" s="47"/>
      <c r="FK142" s="47"/>
      <c r="FL142" s="47"/>
      <c r="FM142" s="47"/>
      <c r="FN142" s="47"/>
      <c r="FO142" s="47"/>
      <c r="FP142" s="47"/>
      <c r="FQ142" s="47"/>
      <c r="FR142" s="47"/>
      <c r="FS142" s="47"/>
      <c r="FT142" s="47"/>
      <c r="FU142" s="47"/>
      <c r="FV142" s="47"/>
      <c r="FW142" s="47"/>
      <c r="FX142" s="47"/>
      <c r="FY142" s="47"/>
      <c r="FZ142" s="47"/>
      <c r="GA142" s="47"/>
      <c r="GB142" s="47"/>
      <c r="GC142" s="47"/>
      <c r="GD142" s="47"/>
      <c r="GE142" s="47"/>
      <c r="GF142" s="47"/>
      <c r="GG142" s="47"/>
      <c r="GH142" s="47"/>
      <c r="GI142" s="47"/>
      <c r="GJ142" s="47"/>
      <c r="GK142" s="47"/>
      <c r="GL142" s="47"/>
      <c r="GM142" s="47"/>
      <c r="GN142" s="47"/>
      <c r="GO142" s="47"/>
      <c r="GP142" s="47"/>
      <c r="GQ142" s="47"/>
      <c r="GR142" s="47"/>
      <c r="GS142" s="47"/>
      <c r="GT142" s="47"/>
      <c r="GU142" s="47"/>
      <c r="GV142" s="47"/>
      <c r="GW142" s="47"/>
      <c r="GX142" s="47"/>
      <c r="GY142" s="47"/>
      <c r="GZ142" s="47"/>
      <c r="HA142" s="47"/>
      <c r="HB142" s="47"/>
      <c r="HC142" s="47"/>
      <c r="HD142" s="47"/>
      <c r="HE142" s="47"/>
      <c r="HF142" s="47"/>
      <c r="HG142" s="47"/>
      <c r="HH142" s="47"/>
      <c r="HI142" s="47"/>
      <c r="HJ142" s="47"/>
      <c r="HK142" s="47"/>
      <c r="HL142" s="47"/>
      <c r="HM142" s="47"/>
      <c r="HN142" s="47"/>
      <c r="HO142" s="47"/>
      <c r="HP142" s="47"/>
      <c r="HQ142" s="47"/>
      <c r="HR142" s="47"/>
      <c r="HS142" s="47"/>
      <c r="HT142" s="47"/>
      <c r="HU142" s="47"/>
      <c r="HV142" s="47"/>
      <c r="HW142" s="47"/>
      <c r="HX142" s="47"/>
      <c r="HY142" s="47"/>
      <c r="HZ142" s="47"/>
      <c r="IA142" s="47"/>
      <c r="IB142" s="47"/>
      <c r="IC142" s="47"/>
      <c r="ID142" s="47"/>
      <c r="IE142" s="47"/>
      <c r="IF142" s="47"/>
      <c r="IG142" s="47"/>
      <c r="IH142" s="47"/>
      <c r="II142" s="47"/>
      <c r="IJ142" s="47"/>
      <c r="IK142" s="47"/>
      <c r="IL142" s="47"/>
    </row>
    <row r="143" spans="2:246" ht="30" customHeight="1" x14ac:dyDescent="0.2">
      <c r="B143" s="48" t="s">
        <v>146</v>
      </c>
      <c r="C143" s="49" t="s">
        <v>60</v>
      </c>
      <c r="D143" s="50">
        <v>1</v>
      </c>
      <c r="E143" s="51">
        <f t="shared" ref="E143:E158" si="18">E142</f>
        <v>46122</v>
      </c>
      <c r="F143" s="51">
        <f t="shared" si="17"/>
        <v>46122</v>
      </c>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47"/>
      <c r="EO143" s="47"/>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c r="FL143" s="47"/>
      <c r="FM143" s="47"/>
      <c r="FN143" s="47"/>
      <c r="FO143" s="47"/>
      <c r="FP143" s="47"/>
      <c r="FQ143" s="47"/>
      <c r="FR143" s="47"/>
      <c r="FS143" s="47"/>
      <c r="FT143" s="47"/>
      <c r="FU143" s="47"/>
      <c r="FV143" s="47"/>
      <c r="FW143" s="47"/>
      <c r="FX143" s="47"/>
      <c r="FY143" s="47"/>
      <c r="FZ143" s="47"/>
      <c r="GA143" s="47"/>
      <c r="GB143" s="47"/>
      <c r="GC143" s="47"/>
      <c r="GD143" s="47"/>
      <c r="GE143" s="47"/>
      <c r="GF143" s="47"/>
      <c r="GG143" s="47"/>
      <c r="GH143" s="47"/>
      <c r="GI143" s="47"/>
      <c r="GJ143" s="47"/>
      <c r="GK143" s="47"/>
      <c r="GL143" s="47"/>
      <c r="GM143" s="47"/>
      <c r="GN143" s="47"/>
      <c r="GO143" s="47"/>
      <c r="GP143" s="47"/>
      <c r="GQ143" s="47"/>
      <c r="GR143" s="47"/>
      <c r="GS143" s="47"/>
      <c r="GT143" s="47"/>
      <c r="GU143" s="47"/>
      <c r="GV143" s="47"/>
      <c r="GW143" s="47"/>
      <c r="GX143" s="47"/>
      <c r="GY143" s="47"/>
      <c r="GZ143" s="47"/>
      <c r="HA143" s="47"/>
      <c r="HB143" s="47"/>
      <c r="HC143" s="47"/>
      <c r="HD143" s="47"/>
      <c r="HE143" s="47"/>
      <c r="HF143" s="47"/>
      <c r="HG143" s="47"/>
      <c r="HH143" s="47"/>
      <c r="HI143" s="47"/>
      <c r="HJ143" s="47"/>
      <c r="HK143" s="47"/>
      <c r="HL143" s="47"/>
      <c r="HM143" s="47"/>
      <c r="HN143" s="47"/>
      <c r="HO143" s="47"/>
      <c r="HP143" s="47"/>
      <c r="HQ143" s="47"/>
      <c r="HR143" s="47"/>
      <c r="HS143" s="47"/>
      <c r="HT143" s="47"/>
      <c r="HU143" s="47"/>
      <c r="HV143" s="47"/>
      <c r="HW143" s="47"/>
      <c r="HX143" s="47"/>
      <c r="HY143" s="47"/>
      <c r="HZ143" s="47"/>
      <c r="IA143" s="47"/>
      <c r="IB143" s="47"/>
      <c r="IC143" s="47"/>
      <c r="ID143" s="47"/>
      <c r="IE143" s="47"/>
      <c r="IF143" s="47"/>
      <c r="IG143" s="47"/>
      <c r="IH143" s="47"/>
      <c r="II143" s="47"/>
      <c r="IJ143" s="47"/>
      <c r="IK143" s="47"/>
      <c r="IL143" s="47"/>
    </row>
    <row r="144" spans="2:246" ht="30" customHeight="1" x14ac:dyDescent="0.2">
      <c r="B144" s="48" t="s">
        <v>147</v>
      </c>
      <c r="C144" s="49" t="s">
        <v>52</v>
      </c>
      <c r="D144" s="50">
        <v>1</v>
      </c>
      <c r="E144" s="51">
        <f>E143-2</f>
        <v>46120</v>
      </c>
      <c r="F144" s="51">
        <f>E144+2</f>
        <v>46122</v>
      </c>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47"/>
      <c r="EJ144" s="47"/>
      <c r="EK144" s="47"/>
      <c r="EL144" s="47"/>
      <c r="EM144" s="47"/>
      <c r="EN144" s="47"/>
      <c r="EO144" s="47"/>
      <c r="EP144" s="47"/>
      <c r="EQ144" s="47"/>
      <c r="ER144" s="47"/>
      <c r="ES144" s="47"/>
      <c r="ET144" s="47"/>
      <c r="EU144" s="47"/>
      <c r="EV144" s="47"/>
      <c r="EW144" s="47"/>
      <c r="EX144" s="47"/>
      <c r="EY144" s="47"/>
      <c r="EZ144" s="47"/>
      <c r="FA144" s="47"/>
      <c r="FB144" s="47"/>
      <c r="FC144" s="47"/>
      <c r="FD144" s="47"/>
      <c r="FE144" s="47"/>
      <c r="FF144" s="47"/>
      <c r="FG144" s="47"/>
      <c r="FH144" s="47"/>
      <c r="FI144" s="47"/>
      <c r="FJ144" s="47"/>
      <c r="FK144" s="47"/>
      <c r="FL144" s="47"/>
      <c r="FM144" s="47"/>
      <c r="FN144" s="47"/>
      <c r="FO144" s="47"/>
      <c r="FP144" s="47"/>
      <c r="FQ144" s="47"/>
      <c r="FR144" s="47"/>
      <c r="FS144" s="47"/>
      <c r="FT144" s="47"/>
      <c r="FU144" s="47"/>
      <c r="FV144" s="47"/>
      <c r="FW144" s="47"/>
      <c r="FX144" s="47"/>
      <c r="FY144" s="47"/>
      <c r="FZ144" s="47"/>
      <c r="GA144" s="47"/>
      <c r="GB144" s="47"/>
      <c r="GC144" s="47"/>
      <c r="GD144" s="47"/>
      <c r="GE144" s="47"/>
      <c r="GF144" s="47"/>
      <c r="GG144" s="47"/>
      <c r="GH144" s="47"/>
      <c r="GI144" s="47"/>
      <c r="GJ144" s="47"/>
      <c r="GK144" s="47"/>
      <c r="GL144" s="47"/>
      <c r="GM144" s="47"/>
      <c r="GN144" s="47"/>
      <c r="GO144" s="47"/>
      <c r="GP144" s="47"/>
      <c r="GQ144" s="47"/>
      <c r="GR144" s="47"/>
      <c r="GS144" s="47"/>
      <c r="GT144" s="47"/>
      <c r="GU144" s="47"/>
      <c r="GV144" s="47"/>
      <c r="GW144" s="47"/>
      <c r="GX144" s="47"/>
      <c r="GY144" s="47"/>
      <c r="GZ144" s="47"/>
      <c r="HA144" s="47"/>
      <c r="HB144" s="47"/>
      <c r="HC144" s="47"/>
      <c r="HD144" s="47"/>
      <c r="HE144" s="47"/>
      <c r="HF144" s="47"/>
      <c r="HG144" s="47"/>
      <c r="HH144" s="47"/>
      <c r="HI144" s="47"/>
      <c r="HJ144" s="47"/>
      <c r="HK144" s="47"/>
      <c r="HL144" s="47"/>
      <c r="HM144" s="47"/>
      <c r="HN144" s="47"/>
      <c r="HO144" s="47"/>
      <c r="HP144" s="47"/>
      <c r="HQ144" s="47"/>
      <c r="HR144" s="47"/>
      <c r="HS144" s="47"/>
      <c r="HT144" s="47"/>
      <c r="HU144" s="47"/>
      <c r="HV144" s="47"/>
      <c r="HW144" s="47"/>
      <c r="HX144" s="47"/>
      <c r="HY144" s="47"/>
      <c r="HZ144" s="47"/>
      <c r="IA144" s="47"/>
      <c r="IB144" s="47"/>
      <c r="IC144" s="47"/>
      <c r="ID144" s="47"/>
      <c r="IE144" s="47"/>
      <c r="IF144" s="47"/>
      <c r="IG144" s="47"/>
      <c r="IH144" s="47"/>
      <c r="II144" s="47"/>
      <c r="IJ144" s="47"/>
      <c r="IK144" s="47"/>
      <c r="IL144" s="47"/>
    </row>
    <row r="145" spans="2:246" ht="30" customHeight="1" x14ac:dyDescent="0.2">
      <c r="B145" s="48" t="s">
        <v>148</v>
      </c>
      <c r="C145" s="49" t="s">
        <v>52</v>
      </c>
      <c r="D145" s="50">
        <v>1</v>
      </c>
      <c r="E145" s="51">
        <f t="shared" si="18"/>
        <v>46120</v>
      </c>
      <c r="F145" s="51">
        <f>E145+2</f>
        <v>46122</v>
      </c>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47"/>
      <c r="EO145" s="47"/>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c r="FL145" s="47"/>
      <c r="FM145" s="47"/>
      <c r="FN145" s="47"/>
      <c r="FO145" s="47"/>
      <c r="FP145" s="47"/>
      <c r="FQ145" s="47"/>
      <c r="FR145" s="47"/>
      <c r="FS145" s="47"/>
      <c r="FT145" s="47"/>
      <c r="FU145" s="47"/>
      <c r="FV145" s="47"/>
      <c r="FW145" s="47"/>
      <c r="FX145" s="47"/>
      <c r="FY145" s="47"/>
      <c r="FZ145" s="47"/>
      <c r="GA145" s="47"/>
      <c r="GB145" s="47"/>
      <c r="GC145" s="47"/>
      <c r="GD145" s="47"/>
      <c r="GE145" s="47"/>
      <c r="GF145" s="47"/>
      <c r="GG145" s="47"/>
      <c r="GH145" s="47"/>
      <c r="GI145" s="47"/>
      <c r="GJ145" s="47"/>
      <c r="GK145" s="47"/>
      <c r="GL145" s="47"/>
      <c r="GM145" s="47"/>
      <c r="GN145" s="47"/>
      <c r="GO145" s="47"/>
      <c r="GP145" s="47"/>
      <c r="GQ145" s="47"/>
      <c r="GR145" s="47"/>
      <c r="GS145" s="47"/>
      <c r="GT145" s="47"/>
      <c r="GU145" s="47"/>
      <c r="GV145" s="47"/>
      <c r="GW145" s="47"/>
      <c r="GX145" s="47"/>
      <c r="GY145" s="47"/>
      <c r="GZ145" s="47"/>
      <c r="HA145" s="47"/>
      <c r="HB145" s="47"/>
      <c r="HC145" s="47"/>
      <c r="HD145" s="47"/>
      <c r="HE145" s="47"/>
      <c r="HF145" s="47"/>
      <c r="HG145" s="47"/>
      <c r="HH145" s="47"/>
      <c r="HI145" s="47"/>
      <c r="HJ145" s="47"/>
      <c r="HK145" s="47"/>
      <c r="HL145" s="47"/>
      <c r="HM145" s="47"/>
      <c r="HN145" s="47"/>
      <c r="HO145" s="47"/>
      <c r="HP145" s="47"/>
      <c r="HQ145" s="47"/>
      <c r="HR145" s="47"/>
      <c r="HS145" s="47"/>
      <c r="HT145" s="47"/>
      <c r="HU145" s="47"/>
      <c r="HV145" s="47"/>
      <c r="HW145" s="47"/>
      <c r="HX145" s="47"/>
      <c r="HY145" s="47"/>
      <c r="HZ145" s="47"/>
      <c r="IA145" s="47"/>
      <c r="IB145" s="47"/>
      <c r="IC145" s="47"/>
      <c r="ID145" s="47"/>
      <c r="IE145" s="47"/>
      <c r="IF145" s="47"/>
      <c r="IG145" s="47"/>
      <c r="IH145" s="47"/>
      <c r="II145" s="47"/>
      <c r="IJ145" s="47"/>
      <c r="IK145" s="47"/>
      <c r="IL145" s="47"/>
    </row>
    <row r="146" spans="2:246" ht="30" customHeight="1" x14ac:dyDescent="0.2">
      <c r="B146" s="48" t="s">
        <v>149</v>
      </c>
      <c r="C146" s="49" t="s">
        <v>60</v>
      </c>
      <c r="D146" s="50">
        <v>1</v>
      </c>
      <c r="E146" s="51">
        <f>E145+2</f>
        <v>46122</v>
      </c>
      <c r="F146" s="51">
        <f t="shared" si="17"/>
        <v>46122</v>
      </c>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47"/>
      <c r="EO146" s="47"/>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c r="FL146" s="47"/>
      <c r="FM146" s="47"/>
      <c r="FN146" s="47"/>
      <c r="FO146" s="47"/>
      <c r="FP146" s="47"/>
      <c r="FQ146" s="47"/>
      <c r="FR146" s="47"/>
      <c r="FS146" s="47"/>
      <c r="FT146" s="47"/>
      <c r="FU146" s="47"/>
      <c r="FV146" s="47"/>
      <c r="FW146" s="47"/>
      <c r="FX146" s="47"/>
      <c r="FY146" s="47"/>
      <c r="FZ146" s="47"/>
      <c r="GA146" s="47"/>
      <c r="GB146" s="47"/>
      <c r="GC146" s="47"/>
      <c r="GD146" s="47"/>
      <c r="GE146" s="47"/>
      <c r="GF146" s="47"/>
      <c r="GG146" s="47"/>
      <c r="GH146" s="47"/>
      <c r="GI146" s="47"/>
      <c r="GJ146" s="47"/>
      <c r="GK146" s="47"/>
      <c r="GL146" s="47"/>
      <c r="GM146" s="47"/>
      <c r="GN146" s="47"/>
      <c r="GO146" s="47"/>
      <c r="GP146" s="47"/>
      <c r="GQ146" s="47"/>
      <c r="GR146" s="47"/>
      <c r="GS146" s="47"/>
      <c r="GT146" s="47"/>
      <c r="GU146" s="47"/>
      <c r="GV146" s="47"/>
      <c r="GW146" s="47"/>
      <c r="GX146" s="47"/>
      <c r="GY146" s="47"/>
      <c r="GZ146" s="47"/>
      <c r="HA146" s="47"/>
      <c r="HB146" s="47"/>
      <c r="HC146" s="47"/>
      <c r="HD146" s="47"/>
      <c r="HE146" s="47"/>
      <c r="HF146" s="47"/>
      <c r="HG146" s="47"/>
      <c r="HH146" s="47"/>
      <c r="HI146" s="47"/>
      <c r="HJ146" s="47"/>
      <c r="HK146" s="47"/>
      <c r="HL146" s="47"/>
      <c r="HM146" s="47"/>
      <c r="HN146" s="47"/>
      <c r="HO146" s="47"/>
      <c r="HP146" s="47"/>
      <c r="HQ146" s="47"/>
      <c r="HR146" s="47"/>
      <c r="HS146" s="47"/>
      <c r="HT146" s="47"/>
      <c r="HU146" s="47"/>
      <c r="HV146" s="47"/>
      <c r="HW146" s="47"/>
      <c r="HX146" s="47"/>
      <c r="HY146" s="47"/>
      <c r="HZ146" s="47"/>
      <c r="IA146" s="47"/>
      <c r="IB146" s="47"/>
      <c r="IC146" s="47"/>
      <c r="ID146" s="47"/>
      <c r="IE146" s="47"/>
      <c r="IF146" s="47"/>
      <c r="IG146" s="47"/>
      <c r="IH146" s="47"/>
      <c r="II146" s="47"/>
      <c r="IJ146" s="47"/>
      <c r="IK146" s="47"/>
      <c r="IL146" s="47"/>
    </row>
    <row r="147" spans="2:246" ht="30" customHeight="1" x14ac:dyDescent="0.2">
      <c r="B147" s="48" t="s">
        <v>150</v>
      </c>
      <c r="C147" s="49" t="s">
        <v>52</v>
      </c>
      <c r="D147" s="50">
        <v>1</v>
      </c>
      <c r="E147" s="51">
        <f>E146-2</f>
        <v>46120</v>
      </c>
      <c r="F147" s="51">
        <f>E147+2</f>
        <v>46122</v>
      </c>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47"/>
      <c r="EO147" s="47"/>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c r="FL147" s="47"/>
      <c r="FM147" s="47"/>
      <c r="FN147" s="47"/>
      <c r="FO147" s="47"/>
      <c r="FP147" s="47"/>
      <c r="FQ147" s="47"/>
      <c r="FR147" s="47"/>
      <c r="FS147" s="47"/>
      <c r="FT147" s="47"/>
      <c r="FU147" s="47"/>
      <c r="FV147" s="47"/>
      <c r="FW147" s="47"/>
      <c r="FX147" s="47"/>
      <c r="FY147" s="47"/>
      <c r="FZ147" s="47"/>
      <c r="GA147" s="47"/>
      <c r="GB147" s="47"/>
      <c r="GC147" s="47"/>
      <c r="GD147" s="47"/>
      <c r="GE147" s="47"/>
      <c r="GF147" s="47"/>
      <c r="GG147" s="47"/>
      <c r="GH147" s="47"/>
      <c r="GI147" s="47"/>
      <c r="GJ147" s="47"/>
      <c r="GK147" s="47"/>
      <c r="GL147" s="47"/>
      <c r="GM147" s="47"/>
      <c r="GN147" s="47"/>
      <c r="GO147" s="47"/>
      <c r="GP147" s="47"/>
      <c r="GQ147" s="47"/>
      <c r="GR147" s="47"/>
      <c r="GS147" s="47"/>
      <c r="GT147" s="47"/>
      <c r="GU147" s="47"/>
      <c r="GV147" s="47"/>
      <c r="GW147" s="47"/>
      <c r="GX147" s="47"/>
      <c r="GY147" s="47"/>
      <c r="GZ147" s="47"/>
      <c r="HA147" s="47"/>
      <c r="HB147" s="47"/>
      <c r="HC147" s="47"/>
      <c r="HD147" s="47"/>
      <c r="HE147" s="47"/>
      <c r="HF147" s="47"/>
      <c r="HG147" s="47"/>
      <c r="HH147" s="47"/>
      <c r="HI147" s="47"/>
      <c r="HJ147" s="47"/>
      <c r="HK147" s="47"/>
      <c r="HL147" s="47"/>
      <c r="HM147" s="47"/>
      <c r="HN147" s="47"/>
      <c r="HO147" s="47"/>
      <c r="HP147" s="47"/>
      <c r="HQ147" s="47"/>
      <c r="HR147" s="47"/>
      <c r="HS147" s="47"/>
      <c r="HT147" s="47"/>
      <c r="HU147" s="47"/>
      <c r="HV147" s="47"/>
      <c r="HW147" s="47"/>
      <c r="HX147" s="47"/>
      <c r="HY147" s="47"/>
      <c r="HZ147" s="47"/>
      <c r="IA147" s="47"/>
      <c r="IB147" s="47"/>
      <c r="IC147" s="47"/>
      <c r="ID147" s="47"/>
      <c r="IE147" s="47"/>
      <c r="IF147" s="47"/>
      <c r="IG147" s="47"/>
      <c r="IH147" s="47"/>
      <c r="II147" s="47"/>
      <c r="IJ147" s="47"/>
      <c r="IK147" s="47"/>
      <c r="IL147" s="47"/>
    </row>
    <row r="148" spans="2:246" ht="30" customHeight="1" x14ac:dyDescent="0.2">
      <c r="B148" s="48" t="s">
        <v>151</v>
      </c>
      <c r="C148" s="49" t="s">
        <v>60</v>
      </c>
      <c r="D148" s="50">
        <v>1</v>
      </c>
      <c r="E148" s="51">
        <f>E147+2</f>
        <v>46122</v>
      </c>
      <c r="F148" s="51">
        <f t="shared" si="17"/>
        <v>46122</v>
      </c>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47"/>
      <c r="EJ148" s="47"/>
      <c r="EK148" s="47"/>
      <c r="EL148" s="47"/>
      <c r="EM148" s="47"/>
      <c r="EN148" s="47"/>
      <c r="EO148" s="47"/>
      <c r="EP148" s="47"/>
      <c r="EQ148" s="47"/>
      <c r="ER148" s="47"/>
      <c r="ES148" s="47"/>
      <c r="ET148" s="47"/>
      <c r="EU148" s="47"/>
      <c r="EV148" s="47"/>
      <c r="EW148" s="47"/>
      <c r="EX148" s="47"/>
      <c r="EY148" s="47"/>
      <c r="EZ148" s="47"/>
      <c r="FA148" s="47"/>
      <c r="FB148" s="47"/>
      <c r="FC148" s="47"/>
      <c r="FD148" s="47"/>
      <c r="FE148" s="47"/>
      <c r="FF148" s="47"/>
      <c r="FG148" s="47"/>
      <c r="FH148" s="47"/>
      <c r="FI148" s="47"/>
      <c r="FJ148" s="47"/>
      <c r="FK148" s="47"/>
      <c r="FL148" s="47"/>
      <c r="FM148" s="47"/>
      <c r="FN148" s="47"/>
      <c r="FO148" s="47"/>
      <c r="FP148" s="47"/>
      <c r="FQ148" s="47"/>
      <c r="FR148" s="47"/>
      <c r="FS148" s="47"/>
      <c r="FT148" s="47"/>
      <c r="FU148" s="47"/>
      <c r="FV148" s="47"/>
      <c r="FW148" s="47"/>
      <c r="FX148" s="47"/>
      <c r="FY148" s="47"/>
      <c r="FZ148" s="47"/>
      <c r="GA148" s="47"/>
      <c r="GB148" s="47"/>
      <c r="GC148" s="47"/>
      <c r="GD148" s="47"/>
      <c r="GE148" s="47"/>
      <c r="GF148" s="47"/>
      <c r="GG148" s="47"/>
      <c r="GH148" s="47"/>
      <c r="GI148" s="47"/>
      <c r="GJ148" s="47"/>
      <c r="GK148" s="47"/>
      <c r="GL148" s="47"/>
      <c r="GM148" s="47"/>
      <c r="GN148" s="47"/>
      <c r="GO148" s="47"/>
      <c r="GP148" s="47"/>
      <c r="GQ148" s="47"/>
      <c r="GR148" s="47"/>
      <c r="GS148" s="47"/>
      <c r="GT148" s="47"/>
      <c r="GU148" s="47"/>
      <c r="GV148" s="47"/>
      <c r="GW148" s="47"/>
      <c r="GX148" s="47"/>
      <c r="GY148" s="47"/>
      <c r="GZ148" s="47"/>
      <c r="HA148" s="47"/>
      <c r="HB148" s="47"/>
      <c r="HC148" s="47"/>
      <c r="HD148" s="47"/>
      <c r="HE148" s="47"/>
      <c r="HF148" s="47"/>
      <c r="HG148" s="47"/>
      <c r="HH148" s="47"/>
      <c r="HI148" s="47"/>
      <c r="HJ148" s="47"/>
      <c r="HK148" s="47"/>
      <c r="HL148" s="47"/>
      <c r="HM148" s="47"/>
      <c r="HN148" s="47"/>
      <c r="HO148" s="47"/>
      <c r="HP148" s="47"/>
      <c r="HQ148" s="47"/>
      <c r="HR148" s="47"/>
      <c r="HS148" s="47"/>
      <c r="HT148" s="47"/>
      <c r="HU148" s="47"/>
      <c r="HV148" s="47"/>
      <c r="HW148" s="47"/>
      <c r="HX148" s="47"/>
      <c r="HY148" s="47"/>
      <c r="HZ148" s="47"/>
      <c r="IA148" s="47"/>
      <c r="IB148" s="47"/>
      <c r="IC148" s="47"/>
      <c r="ID148" s="47"/>
      <c r="IE148" s="47"/>
      <c r="IF148" s="47"/>
      <c r="IG148" s="47"/>
      <c r="IH148" s="47"/>
      <c r="II148" s="47"/>
      <c r="IJ148" s="47"/>
      <c r="IK148" s="47"/>
      <c r="IL148" s="47"/>
    </row>
    <row r="149" spans="2:246" ht="30" customHeight="1" x14ac:dyDescent="0.2">
      <c r="B149" s="48" t="s">
        <v>152</v>
      </c>
      <c r="C149" s="49" t="s">
        <v>60</v>
      </c>
      <c r="D149" s="50">
        <v>1</v>
      </c>
      <c r="E149" s="51">
        <f t="shared" si="18"/>
        <v>46122</v>
      </c>
      <c r="F149" s="51">
        <f t="shared" si="17"/>
        <v>46122</v>
      </c>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47"/>
      <c r="EJ149" s="47"/>
      <c r="EK149" s="47"/>
      <c r="EL149" s="47"/>
      <c r="EM149" s="47"/>
      <c r="EN149" s="47"/>
      <c r="EO149" s="47"/>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c r="FL149" s="47"/>
      <c r="FM149" s="47"/>
      <c r="FN149" s="47"/>
      <c r="FO149" s="47"/>
      <c r="FP149" s="47"/>
      <c r="FQ149" s="47"/>
      <c r="FR149" s="47"/>
      <c r="FS149" s="47"/>
      <c r="FT149" s="47"/>
      <c r="FU149" s="47"/>
      <c r="FV149" s="47"/>
      <c r="FW149" s="47"/>
      <c r="FX149" s="47"/>
      <c r="FY149" s="47"/>
      <c r="FZ149" s="47"/>
      <c r="GA149" s="47"/>
      <c r="GB149" s="47"/>
      <c r="GC149" s="47"/>
      <c r="GD149" s="47"/>
      <c r="GE149" s="47"/>
      <c r="GF149" s="47"/>
      <c r="GG149" s="47"/>
      <c r="GH149" s="47"/>
      <c r="GI149" s="47"/>
      <c r="GJ149" s="47"/>
      <c r="GK149" s="47"/>
      <c r="GL149" s="47"/>
      <c r="GM149" s="47"/>
      <c r="GN149" s="47"/>
      <c r="GO149" s="47"/>
      <c r="GP149" s="47"/>
      <c r="GQ149" s="47"/>
      <c r="GR149" s="47"/>
      <c r="GS149" s="47"/>
      <c r="GT149" s="47"/>
      <c r="GU149" s="47"/>
      <c r="GV149" s="47"/>
      <c r="GW149" s="47"/>
      <c r="GX149" s="47"/>
      <c r="GY149" s="47"/>
      <c r="GZ149" s="47"/>
      <c r="HA149" s="47"/>
      <c r="HB149" s="47"/>
      <c r="HC149" s="47"/>
      <c r="HD149" s="47"/>
      <c r="HE149" s="47"/>
      <c r="HF149" s="47"/>
      <c r="HG149" s="47"/>
      <c r="HH149" s="47"/>
      <c r="HI149" s="47"/>
      <c r="HJ149" s="47"/>
      <c r="HK149" s="47"/>
      <c r="HL149" s="47"/>
      <c r="HM149" s="47"/>
      <c r="HN149" s="47"/>
      <c r="HO149" s="47"/>
      <c r="HP149" s="47"/>
      <c r="HQ149" s="47"/>
      <c r="HR149" s="47"/>
      <c r="HS149" s="47"/>
      <c r="HT149" s="47"/>
      <c r="HU149" s="47"/>
      <c r="HV149" s="47"/>
      <c r="HW149" s="47"/>
      <c r="HX149" s="47"/>
      <c r="HY149" s="47"/>
      <c r="HZ149" s="47"/>
      <c r="IA149" s="47"/>
      <c r="IB149" s="47"/>
      <c r="IC149" s="47"/>
      <c r="ID149" s="47"/>
      <c r="IE149" s="47"/>
      <c r="IF149" s="47"/>
      <c r="IG149" s="47"/>
      <c r="IH149" s="47"/>
      <c r="II149" s="47"/>
      <c r="IJ149" s="47"/>
      <c r="IK149" s="47"/>
      <c r="IL149" s="47"/>
    </row>
    <row r="150" spans="2:246" ht="30" customHeight="1" x14ac:dyDescent="0.2">
      <c r="B150" s="48" t="s">
        <v>153</v>
      </c>
      <c r="C150" s="49" t="s">
        <v>52</v>
      </c>
      <c r="D150" s="50">
        <v>1</v>
      </c>
      <c r="E150" s="51">
        <f>E149-2</f>
        <v>46120</v>
      </c>
      <c r="F150" s="51">
        <f>E150+2</f>
        <v>46122</v>
      </c>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47"/>
      <c r="EJ150" s="47"/>
      <c r="EK150" s="47"/>
      <c r="EL150" s="47"/>
      <c r="EM150" s="47"/>
      <c r="EN150" s="47"/>
      <c r="EO150" s="47"/>
      <c r="EP150" s="47"/>
      <c r="EQ150" s="47"/>
      <c r="ER150" s="47"/>
      <c r="ES150" s="47"/>
      <c r="ET150" s="47"/>
      <c r="EU150" s="47"/>
      <c r="EV150" s="47"/>
      <c r="EW150" s="47"/>
      <c r="EX150" s="47"/>
      <c r="EY150" s="47"/>
      <c r="EZ150" s="47"/>
      <c r="FA150" s="47"/>
      <c r="FB150" s="47"/>
      <c r="FC150" s="47"/>
      <c r="FD150" s="47"/>
      <c r="FE150" s="47"/>
      <c r="FF150" s="47"/>
      <c r="FG150" s="47"/>
      <c r="FH150" s="47"/>
      <c r="FI150" s="47"/>
      <c r="FJ150" s="47"/>
      <c r="FK150" s="47"/>
      <c r="FL150" s="47"/>
      <c r="FM150" s="47"/>
      <c r="FN150" s="47"/>
      <c r="FO150" s="47"/>
      <c r="FP150" s="47"/>
      <c r="FQ150" s="47"/>
      <c r="FR150" s="47"/>
      <c r="FS150" s="47"/>
      <c r="FT150" s="47"/>
      <c r="FU150" s="47"/>
      <c r="FV150" s="47"/>
      <c r="FW150" s="47"/>
      <c r="FX150" s="47"/>
      <c r="FY150" s="47"/>
      <c r="FZ150" s="47"/>
      <c r="GA150" s="47"/>
      <c r="GB150" s="47"/>
      <c r="GC150" s="47"/>
      <c r="GD150" s="47"/>
      <c r="GE150" s="47"/>
      <c r="GF150" s="47"/>
      <c r="GG150" s="47"/>
      <c r="GH150" s="47"/>
      <c r="GI150" s="47"/>
      <c r="GJ150" s="47"/>
      <c r="GK150" s="47"/>
      <c r="GL150" s="47"/>
      <c r="GM150" s="47"/>
      <c r="GN150" s="47"/>
      <c r="GO150" s="47"/>
      <c r="GP150" s="47"/>
      <c r="GQ150" s="47"/>
      <c r="GR150" s="47"/>
      <c r="GS150" s="47"/>
      <c r="GT150" s="47"/>
      <c r="GU150" s="47"/>
      <c r="GV150" s="47"/>
      <c r="GW150" s="47"/>
      <c r="GX150" s="47"/>
      <c r="GY150" s="47"/>
      <c r="GZ150" s="47"/>
      <c r="HA150" s="47"/>
      <c r="HB150" s="47"/>
      <c r="HC150" s="47"/>
      <c r="HD150" s="47"/>
      <c r="HE150" s="47"/>
      <c r="HF150" s="47"/>
      <c r="HG150" s="47"/>
      <c r="HH150" s="47"/>
      <c r="HI150" s="47"/>
      <c r="HJ150" s="47"/>
      <c r="HK150" s="47"/>
      <c r="HL150" s="47"/>
      <c r="HM150" s="47"/>
      <c r="HN150" s="47"/>
      <c r="HO150" s="47"/>
      <c r="HP150" s="47"/>
      <c r="HQ150" s="47"/>
      <c r="HR150" s="47"/>
      <c r="HS150" s="47"/>
      <c r="HT150" s="47"/>
      <c r="HU150" s="47"/>
      <c r="HV150" s="47"/>
      <c r="HW150" s="47"/>
      <c r="HX150" s="47"/>
      <c r="HY150" s="47"/>
      <c r="HZ150" s="47"/>
      <c r="IA150" s="47"/>
      <c r="IB150" s="47"/>
      <c r="IC150" s="47"/>
      <c r="ID150" s="47"/>
      <c r="IE150" s="47"/>
      <c r="IF150" s="47"/>
      <c r="IG150" s="47"/>
      <c r="IH150" s="47"/>
      <c r="II150" s="47"/>
      <c r="IJ150" s="47"/>
      <c r="IK150" s="47"/>
      <c r="IL150" s="47"/>
    </row>
    <row r="151" spans="2:246" ht="30" customHeight="1" x14ac:dyDescent="0.2">
      <c r="B151" s="48" t="s">
        <v>154</v>
      </c>
      <c r="C151" s="49" t="s">
        <v>57</v>
      </c>
      <c r="D151" s="50">
        <v>1</v>
      </c>
      <c r="E151" s="51">
        <f t="shared" si="18"/>
        <v>46120</v>
      </c>
      <c r="F151" s="51">
        <f>E151+2</f>
        <v>46122</v>
      </c>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47"/>
      <c r="EO151" s="47"/>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c r="FL151" s="47"/>
      <c r="FM151" s="47"/>
      <c r="FN151" s="47"/>
      <c r="FO151" s="47"/>
      <c r="FP151" s="47"/>
      <c r="FQ151" s="47"/>
      <c r="FR151" s="47"/>
      <c r="FS151" s="47"/>
      <c r="FT151" s="47"/>
      <c r="FU151" s="47"/>
      <c r="FV151" s="47"/>
      <c r="FW151" s="47"/>
      <c r="FX151" s="47"/>
      <c r="FY151" s="47"/>
      <c r="FZ151" s="47"/>
      <c r="GA151" s="47"/>
      <c r="GB151" s="47"/>
      <c r="GC151" s="47"/>
      <c r="GD151" s="47"/>
      <c r="GE151" s="47"/>
      <c r="GF151" s="47"/>
      <c r="GG151" s="47"/>
      <c r="GH151" s="47"/>
      <c r="GI151" s="47"/>
      <c r="GJ151" s="47"/>
      <c r="GK151" s="47"/>
      <c r="GL151" s="47"/>
      <c r="GM151" s="47"/>
      <c r="GN151" s="47"/>
      <c r="GO151" s="47"/>
      <c r="GP151" s="47"/>
      <c r="GQ151" s="47"/>
      <c r="GR151" s="47"/>
      <c r="GS151" s="47"/>
      <c r="GT151" s="47"/>
      <c r="GU151" s="47"/>
      <c r="GV151" s="47"/>
      <c r="GW151" s="47"/>
      <c r="GX151" s="47"/>
      <c r="GY151" s="47"/>
      <c r="GZ151" s="47"/>
      <c r="HA151" s="47"/>
      <c r="HB151" s="47"/>
      <c r="HC151" s="47"/>
      <c r="HD151" s="47"/>
      <c r="HE151" s="47"/>
      <c r="HF151" s="47"/>
      <c r="HG151" s="47"/>
      <c r="HH151" s="47"/>
      <c r="HI151" s="47"/>
      <c r="HJ151" s="47"/>
      <c r="HK151" s="47"/>
      <c r="HL151" s="47"/>
      <c r="HM151" s="47"/>
      <c r="HN151" s="47"/>
      <c r="HO151" s="47"/>
      <c r="HP151" s="47"/>
      <c r="HQ151" s="47"/>
      <c r="HR151" s="47"/>
      <c r="HS151" s="47"/>
      <c r="HT151" s="47"/>
      <c r="HU151" s="47"/>
      <c r="HV151" s="47"/>
      <c r="HW151" s="47"/>
      <c r="HX151" s="47"/>
      <c r="HY151" s="47"/>
      <c r="HZ151" s="47"/>
      <c r="IA151" s="47"/>
      <c r="IB151" s="47"/>
      <c r="IC151" s="47"/>
      <c r="ID151" s="47"/>
      <c r="IE151" s="47"/>
      <c r="IF151" s="47"/>
      <c r="IG151" s="47"/>
      <c r="IH151" s="47"/>
      <c r="II151" s="47"/>
      <c r="IJ151" s="47"/>
      <c r="IK151" s="47"/>
      <c r="IL151" s="47"/>
    </row>
    <row r="152" spans="2:246" ht="30" customHeight="1" x14ac:dyDescent="0.2">
      <c r="B152" s="48" t="s">
        <v>155</v>
      </c>
      <c r="C152" s="49" t="s">
        <v>57</v>
      </c>
      <c r="D152" s="50">
        <v>1</v>
      </c>
      <c r="E152" s="51">
        <f t="shared" si="18"/>
        <v>46120</v>
      </c>
      <c r="F152" s="51">
        <f>E152+2</f>
        <v>46122</v>
      </c>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47"/>
      <c r="EJ152" s="47"/>
      <c r="EK152" s="47"/>
      <c r="EL152" s="47"/>
      <c r="EM152" s="47"/>
      <c r="EN152" s="47"/>
      <c r="EO152" s="47"/>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c r="FL152" s="47"/>
      <c r="FM152" s="47"/>
      <c r="FN152" s="47"/>
      <c r="FO152" s="47"/>
      <c r="FP152" s="47"/>
      <c r="FQ152" s="47"/>
      <c r="FR152" s="47"/>
      <c r="FS152" s="47"/>
      <c r="FT152" s="47"/>
      <c r="FU152" s="47"/>
      <c r="FV152" s="47"/>
      <c r="FW152" s="47"/>
      <c r="FX152" s="47"/>
      <c r="FY152" s="47"/>
      <c r="FZ152" s="47"/>
      <c r="GA152" s="47"/>
      <c r="GB152" s="47"/>
      <c r="GC152" s="47"/>
      <c r="GD152" s="47"/>
      <c r="GE152" s="47"/>
      <c r="GF152" s="47"/>
      <c r="GG152" s="47"/>
      <c r="GH152" s="47"/>
      <c r="GI152" s="47"/>
      <c r="GJ152" s="47"/>
      <c r="GK152" s="47"/>
      <c r="GL152" s="47"/>
      <c r="GM152" s="47"/>
      <c r="GN152" s="47"/>
      <c r="GO152" s="47"/>
      <c r="GP152" s="47"/>
      <c r="GQ152" s="47"/>
      <c r="GR152" s="47"/>
      <c r="GS152" s="47"/>
      <c r="GT152" s="47"/>
      <c r="GU152" s="47"/>
      <c r="GV152" s="47"/>
      <c r="GW152" s="47"/>
      <c r="GX152" s="47"/>
      <c r="GY152" s="47"/>
      <c r="GZ152" s="47"/>
      <c r="HA152" s="47"/>
      <c r="HB152" s="47"/>
      <c r="HC152" s="47"/>
      <c r="HD152" s="47"/>
      <c r="HE152" s="47"/>
      <c r="HF152" s="47"/>
      <c r="HG152" s="47"/>
      <c r="HH152" s="47"/>
      <c r="HI152" s="47"/>
      <c r="HJ152" s="47"/>
      <c r="HK152" s="47"/>
      <c r="HL152" s="47"/>
      <c r="HM152" s="47"/>
      <c r="HN152" s="47"/>
      <c r="HO152" s="47"/>
      <c r="HP152" s="47"/>
      <c r="HQ152" s="47"/>
      <c r="HR152" s="47"/>
      <c r="HS152" s="47"/>
      <c r="HT152" s="47"/>
      <c r="HU152" s="47"/>
      <c r="HV152" s="47"/>
      <c r="HW152" s="47"/>
      <c r="HX152" s="47"/>
      <c r="HY152" s="47"/>
      <c r="HZ152" s="47"/>
      <c r="IA152" s="47"/>
      <c r="IB152" s="47"/>
      <c r="IC152" s="47"/>
      <c r="ID152" s="47"/>
      <c r="IE152" s="47"/>
      <c r="IF152" s="47"/>
      <c r="IG152" s="47"/>
      <c r="IH152" s="47"/>
      <c r="II152" s="47"/>
      <c r="IJ152" s="47"/>
      <c r="IK152" s="47"/>
      <c r="IL152" s="47"/>
    </row>
    <row r="153" spans="2:246" ht="30" customHeight="1" x14ac:dyDescent="0.2">
      <c r="B153" s="48" t="s">
        <v>156</v>
      </c>
      <c r="C153" s="49" t="s">
        <v>60</v>
      </c>
      <c r="D153" s="50">
        <v>1</v>
      </c>
      <c r="E153" s="51">
        <f t="shared" si="18"/>
        <v>46120</v>
      </c>
      <c r="F153" s="51">
        <f>E153+2</f>
        <v>46122</v>
      </c>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c r="FL153" s="47"/>
      <c r="FM153" s="47"/>
      <c r="FN153" s="47"/>
      <c r="FO153" s="47"/>
      <c r="FP153" s="47"/>
      <c r="FQ153" s="47"/>
      <c r="FR153" s="47"/>
      <c r="FS153" s="47"/>
      <c r="FT153" s="47"/>
      <c r="FU153" s="47"/>
      <c r="FV153" s="47"/>
      <c r="FW153" s="47"/>
      <c r="FX153" s="47"/>
      <c r="FY153" s="47"/>
      <c r="FZ153" s="47"/>
      <c r="GA153" s="47"/>
      <c r="GB153" s="47"/>
      <c r="GC153" s="47"/>
      <c r="GD153" s="47"/>
      <c r="GE153" s="47"/>
      <c r="GF153" s="47"/>
      <c r="GG153" s="47"/>
      <c r="GH153" s="47"/>
      <c r="GI153" s="47"/>
      <c r="GJ153" s="47"/>
      <c r="GK153" s="47"/>
      <c r="GL153" s="47"/>
      <c r="GM153" s="47"/>
      <c r="GN153" s="47"/>
      <c r="GO153" s="47"/>
      <c r="GP153" s="47"/>
      <c r="GQ153" s="47"/>
      <c r="GR153" s="47"/>
      <c r="GS153" s="47"/>
      <c r="GT153" s="47"/>
      <c r="GU153" s="47"/>
      <c r="GV153" s="47"/>
      <c r="GW153" s="47"/>
      <c r="GX153" s="47"/>
      <c r="GY153" s="47"/>
      <c r="GZ153" s="47"/>
      <c r="HA153" s="47"/>
      <c r="HB153" s="47"/>
      <c r="HC153" s="47"/>
      <c r="HD153" s="47"/>
      <c r="HE153" s="47"/>
      <c r="HF153" s="47"/>
      <c r="HG153" s="47"/>
      <c r="HH153" s="47"/>
      <c r="HI153" s="47"/>
      <c r="HJ153" s="47"/>
      <c r="HK153" s="47"/>
      <c r="HL153" s="47"/>
      <c r="HM153" s="47"/>
      <c r="HN153" s="47"/>
      <c r="HO153" s="47"/>
      <c r="HP153" s="47"/>
      <c r="HQ153" s="47"/>
      <c r="HR153" s="47"/>
      <c r="HS153" s="47"/>
      <c r="HT153" s="47"/>
      <c r="HU153" s="47"/>
      <c r="HV153" s="47"/>
      <c r="HW153" s="47"/>
      <c r="HX153" s="47"/>
      <c r="HY153" s="47"/>
      <c r="HZ153" s="47"/>
      <c r="IA153" s="47"/>
      <c r="IB153" s="47"/>
      <c r="IC153" s="47"/>
      <c r="ID153" s="47"/>
      <c r="IE153" s="47"/>
      <c r="IF153" s="47"/>
      <c r="IG153" s="47"/>
      <c r="IH153" s="47"/>
      <c r="II153" s="47"/>
      <c r="IJ153" s="47"/>
      <c r="IK153" s="47"/>
      <c r="IL153" s="47"/>
    </row>
    <row r="154" spans="2:246" ht="30" customHeight="1" x14ac:dyDescent="0.2">
      <c r="B154" s="48" t="s">
        <v>157</v>
      </c>
      <c r="C154" s="49" t="s">
        <v>57</v>
      </c>
      <c r="D154" s="50">
        <v>1</v>
      </c>
      <c r="E154" s="51">
        <f t="shared" si="18"/>
        <v>46120</v>
      </c>
      <c r="F154" s="51">
        <f>E154+2</f>
        <v>46122</v>
      </c>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47"/>
      <c r="EJ154" s="47"/>
      <c r="EK154" s="47"/>
      <c r="EL154" s="47"/>
      <c r="EM154" s="47"/>
      <c r="EN154" s="47"/>
      <c r="EO154" s="47"/>
      <c r="EP154" s="47"/>
      <c r="EQ154" s="47"/>
      <c r="ER154" s="47"/>
      <c r="ES154" s="47"/>
      <c r="ET154" s="47"/>
      <c r="EU154" s="47"/>
      <c r="EV154" s="47"/>
      <c r="EW154" s="47"/>
      <c r="EX154" s="47"/>
      <c r="EY154" s="47"/>
      <c r="EZ154" s="47"/>
      <c r="FA154" s="47"/>
      <c r="FB154" s="47"/>
      <c r="FC154" s="47"/>
      <c r="FD154" s="47"/>
      <c r="FE154" s="47"/>
      <c r="FF154" s="47"/>
      <c r="FG154" s="47"/>
      <c r="FH154" s="47"/>
      <c r="FI154" s="47"/>
      <c r="FJ154" s="47"/>
      <c r="FK154" s="47"/>
      <c r="FL154" s="47"/>
      <c r="FM154" s="47"/>
      <c r="FN154" s="47"/>
      <c r="FO154" s="47"/>
      <c r="FP154" s="47"/>
      <c r="FQ154" s="47"/>
      <c r="FR154" s="47"/>
      <c r="FS154" s="47"/>
      <c r="FT154" s="47"/>
      <c r="FU154" s="47"/>
      <c r="FV154" s="47"/>
      <c r="FW154" s="47"/>
      <c r="FX154" s="47"/>
      <c r="FY154" s="47"/>
      <c r="FZ154" s="47"/>
      <c r="GA154" s="47"/>
      <c r="GB154" s="47"/>
      <c r="GC154" s="47"/>
      <c r="GD154" s="47"/>
      <c r="GE154" s="47"/>
      <c r="GF154" s="47"/>
      <c r="GG154" s="47"/>
      <c r="GH154" s="47"/>
      <c r="GI154" s="47"/>
      <c r="GJ154" s="47"/>
      <c r="GK154" s="47"/>
      <c r="GL154" s="47"/>
      <c r="GM154" s="47"/>
      <c r="GN154" s="47"/>
      <c r="GO154" s="47"/>
      <c r="GP154" s="47"/>
      <c r="GQ154" s="47"/>
      <c r="GR154" s="47"/>
      <c r="GS154" s="47"/>
      <c r="GT154" s="47"/>
      <c r="GU154" s="47"/>
      <c r="GV154" s="47"/>
      <c r="GW154" s="47"/>
      <c r="GX154" s="47"/>
      <c r="GY154" s="47"/>
      <c r="GZ154" s="47"/>
      <c r="HA154" s="47"/>
      <c r="HB154" s="47"/>
      <c r="HC154" s="47"/>
      <c r="HD154" s="47"/>
      <c r="HE154" s="47"/>
      <c r="HF154" s="47"/>
      <c r="HG154" s="47"/>
      <c r="HH154" s="47"/>
      <c r="HI154" s="47"/>
      <c r="HJ154" s="47"/>
      <c r="HK154" s="47"/>
      <c r="HL154" s="47"/>
      <c r="HM154" s="47"/>
      <c r="HN154" s="47"/>
      <c r="HO154" s="47"/>
      <c r="HP154" s="47"/>
      <c r="HQ154" s="47"/>
      <c r="HR154" s="47"/>
      <c r="HS154" s="47"/>
      <c r="HT154" s="47"/>
      <c r="HU154" s="47"/>
      <c r="HV154" s="47"/>
      <c r="HW154" s="47"/>
      <c r="HX154" s="47"/>
      <c r="HY154" s="47"/>
      <c r="HZ154" s="47"/>
      <c r="IA154" s="47"/>
      <c r="IB154" s="47"/>
      <c r="IC154" s="47"/>
      <c r="ID154" s="47"/>
      <c r="IE154" s="47"/>
      <c r="IF154" s="47"/>
      <c r="IG154" s="47"/>
      <c r="IH154" s="47"/>
      <c r="II154" s="47"/>
      <c r="IJ154" s="47"/>
      <c r="IK154" s="47"/>
      <c r="IL154" s="47"/>
    </row>
    <row r="155" spans="2:246" ht="30" customHeight="1" x14ac:dyDescent="0.2">
      <c r="B155" s="48" t="s">
        <v>38</v>
      </c>
      <c r="C155" s="49" t="s">
        <v>60</v>
      </c>
      <c r="D155" s="50">
        <v>1</v>
      </c>
      <c r="E155" s="51">
        <f t="shared" si="18"/>
        <v>46120</v>
      </c>
      <c r="F155" s="51">
        <f>E155+1</f>
        <v>46121</v>
      </c>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47"/>
      <c r="EO155" s="47"/>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c r="FL155" s="47"/>
      <c r="FM155" s="47"/>
      <c r="FN155" s="47"/>
      <c r="FO155" s="47"/>
      <c r="FP155" s="47"/>
      <c r="FQ155" s="47"/>
      <c r="FR155" s="47"/>
      <c r="FS155" s="47"/>
      <c r="FT155" s="47"/>
      <c r="FU155" s="47"/>
      <c r="FV155" s="47"/>
      <c r="FW155" s="47"/>
      <c r="FX155" s="47"/>
      <c r="FY155" s="47"/>
      <c r="FZ155" s="47"/>
      <c r="GA155" s="47"/>
      <c r="GB155" s="47"/>
      <c r="GC155" s="47"/>
      <c r="GD155" s="47"/>
      <c r="GE155" s="47"/>
      <c r="GF155" s="47"/>
      <c r="GG155" s="47"/>
      <c r="GH155" s="47"/>
      <c r="GI155" s="47"/>
      <c r="GJ155" s="47"/>
      <c r="GK155" s="47"/>
      <c r="GL155" s="47"/>
      <c r="GM155" s="47"/>
      <c r="GN155" s="47"/>
      <c r="GO155" s="47"/>
      <c r="GP155" s="47"/>
      <c r="GQ155" s="47"/>
      <c r="GR155" s="47"/>
      <c r="GS155" s="47"/>
      <c r="GT155" s="47"/>
      <c r="GU155" s="47"/>
      <c r="GV155" s="47"/>
      <c r="GW155" s="47"/>
      <c r="GX155" s="47"/>
      <c r="GY155" s="47"/>
      <c r="GZ155" s="47"/>
      <c r="HA155" s="47"/>
      <c r="HB155" s="47"/>
      <c r="HC155" s="47"/>
      <c r="HD155" s="47"/>
      <c r="HE155" s="47"/>
      <c r="HF155" s="47"/>
      <c r="HG155" s="47"/>
      <c r="HH155" s="47"/>
      <c r="HI155" s="47"/>
      <c r="HJ155" s="47"/>
      <c r="HK155" s="47"/>
      <c r="HL155" s="47"/>
      <c r="HM155" s="47"/>
      <c r="HN155" s="47"/>
      <c r="HO155" s="47"/>
      <c r="HP155" s="47"/>
      <c r="HQ155" s="47"/>
      <c r="HR155" s="47"/>
      <c r="HS155" s="47"/>
      <c r="HT155" s="47"/>
      <c r="HU155" s="47"/>
      <c r="HV155" s="47"/>
      <c r="HW155" s="47"/>
      <c r="HX155" s="47"/>
      <c r="HY155" s="47"/>
      <c r="HZ155" s="47"/>
      <c r="IA155" s="47"/>
      <c r="IB155" s="47"/>
      <c r="IC155" s="47"/>
      <c r="ID155" s="47"/>
      <c r="IE155" s="47"/>
      <c r="IF155" s="47"/>
      <c r="IG155" s="47"/>
      <c r="IH155" s="47"/>
      <c r="II155" s="47"/>
      <c r="IJ155" s="47"/>
      <c r="IK155" s="47"/>
      <c r="IL155" s="47"/>
    </row>
    <row r="156" spans="2:246" ht="30" customHeight="1" x14ac:dyDescent="0.2">
      <c r="B156" s="48" t="s">
        <v>158</v>
      </c>
      <c r="C156" s="49" t="s">
        <v>60</v>
      </c>
      <c r="D156" s="50">
        <v>1</v>
      </c>
      <c r="E156" s="51">
        <f>E155</f>
        <v>46120</v>
      </c>
      <c r="F156" s="51">
        <f>E156+2</f>
        <v>46122</v>
      </c>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47"/>
      <c r="EJ156" s="47"/>
      <c r="EK156" s="47"/>
      <c r="EL156" s="47"/>
      <c r="EM156" s="47"/>
      <c r="EN156" s="47"/>
      <c r="EO156" s="47"/>
      <c r="EP156" s="47"/>
      <c r="EQ156" s="47"/>
      <c r="ER156" s="47"/>
      <c r="ES156" s="47"/>
      <c r="ET156" s="47"/>
      <c r="EU156" s="47"/>
      <c r="EV156" s="47"/>
      <c r="EW156" s="47"/>
      <c r="EX156" s="47"/>
      <c r="EY156" s="47"/>
      <c r="EZ156" s="47"/>
      <c r="FA156" s="47"/>
      <c r="FB156" s="47"/>
      <c r="FC156" s="47"/>
      <c r="FD156" s="47"/>
      <c r="FE156" s="47"/>
      <c r="FF156" s="47"/>
      <c r="FG156" s="47"/>
      <c r="FH156" s="47"/>
      <c r="FI156" s="47"/>
      <c r="FJ156" s="47"/>
      <c r="FK156" s="47"/>
      <c r="FL156" s="47"/>
      <c r="FM156" s="47"/>
      <c r="FN156" s="47"/>
      <c r="FO156" s="47"/>
      <c r="FP156" s="47"/>
      <c r="FQ156" s="47"/>
      <c r="FR156" s="47"/>
      <c r="FS156" s="47"/>
      <c r="FT156" s="47"/>
      <c r="FU156" s="47"/>
      <c r="FV156" s="47"/>
      <c r="FW156" s="47"/>
      <c r="FX156" s="47"/>
      <c r="FY156" s="47"/>
      <c r="FZ156" s="47"/>
      <c r="GA156" s="47"/>
      <c r="GB156" s="47"/>
      <c r="GC156" s="47"/>
      <c r="GD156" s="47"/>
      <c r="GE156" s="47"/>
      <c r="GF156" s="47"/>
      <c r="GG156" s="47"/>
      <c r="GH156" s="47"/>
      <c r="GI156" s="47"/>
      <c r="GJ156" s="47"/>
      <c r="GK156" s="47"/>
      <c r="GL156" s="47"/>
      <c r="GM156" s="47"/>
      <c r="GN156" s="47"/>
      <c r="GO156" s="47"/>
      <c r="GP156" s="47"/>
      <c r="GQ156" s="47"/>
      <c r="GR156" s="47"/>
      <c r="GS156" s="47"/>
      <c r="GT156" s="47"/>
      <c r="GU156" s="47"/>
      <c r="GV156" s="47"/>
      <c r="GW156" s="47"/>
      <c r="GX156" s="47"/>
      <c r="GY156" s="47"/>
      <c r="GZ156" s="47"/>
      <c r="HA156" s="47"/>
      <c r="HB156" s="47"/>
      <c r="HC156" s="47"/>
      <c r="HD156" s="47"/>
      <c r="HE156" s="47"/>
      <c r="HF156" s="47"/>
      <c r="HG156" s="47"/>
      <c r="HH156" s="47"/>
      <c r="HI156" s="47"/>
      <c r="HJ156" s="47"/>
      <c r="HK156" s="47"/>
      <c r="HL156" s="47"/>
      <c r="HM156" s="47"/>
      <c r="HN156" s="47"/>
      <c r="HO156" s="47"/>
      <c r="HP156" s="47"/>
      <c r="HQ156" s="47"/>
      <c r="HR156" s="47"/>
      <c r="HS156" s="47"/>
      <c r="HT156" s="47"/>
      <c r="HU156" s="47"/>
      <c r="HV156" s="47"/>
      <c r="HW156" s="47"/>
      <c r="HX156" s="47"/>
      <c r="HY156" s="47"/>
      <c r="HZ156" s="47"/>
      <c r="IA156" s="47"/>
      <c r="IB156" s="47"/>
      <c r="IC156" s="47"/>
      <c r="ID156" s="47"/>
      <c r="IE156" s="47"/>
      <c r="IF156" s="47"/>
      <c r="IG156" s="47"/>
      <c r="IH156" s="47"/>
      <c r="II156" s="47"/>
      <c r="IJ156" s="47"/>
      <c r="IK156" s="47"/>
      <c r="IL156" s="47"/>
    </row>
    <row r="157" spans="2:246" ht="30" customHeight="1" x14ac:dyDescent="0.2">
      <c r="B157" s="48" t="s">
        <v>37</v>
      </c>
      <c r="C157" s="49" t="s">
        <v>60</v>
      </c>
      <c r="D157" s="50">
        <v>1</v>
      </c>
      <c r="E157" s="51">
        <f t="shared" si="18"/>
        <v>46120</v>
      </c>
      <c r="F157" s="51">
        <f>E157+2</f>
        <v>46122</v>
      </c>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47"/>
      <c r="EO157" s="47"/>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c r="FL157" s="47"/>
      <c r="FM157" s="47"/>
      <c r="FN157" s="47"/>
      <c r="FO157" s="47"/>
      <c r="FP157" s="47"/>
      <c r="FQ157" s="47"/>
      <c r="FR157" s="47"/>
      <c r="FS157" s="47"/>
      <c r="FT157" s="47"/>
      <c r="FU157" s="47"/>
      <c r="FV157" s="47"/>
      <c r="FW157" s="47"/>
      <c r="FX157" s="47"/>
      <c r="FY157" s="47"/>
      <c r="FZ157" s="47"/>
      <c r="GA157" s="47"/>
      <c r="GB157" s="47"/>
      <c r="GC157" s="47"/>
      <c r="GD157" s="47"/>
      <c r="GE157" s="47"/>
      <c r="GF157" s="47"/>
      <c r="GG157" s="47"/>
      <c r="GH157" s="47"/>
      <c r="GI157" s="47"/>
      <c r="GJ157" s="47"/>
      <c r="GK157" s="47"/>
      <c r="GL157" s="47"/>
      <c r="GM157" s="47"/>
      <c r="GN157" s="47"/>
      <c r="GO157" s="47"/>
      <c r="GP157" s="47"/>
      <c r="GQ157" s="47"/>
      <c r="GR157" s="47"/>
      <c r="GS157" s="47"/>
      <c r="GT157" s="47"/>
      <c r="GU157" s="47"/>
      <c r="GV157" s="47"/>
      <c r="GW157" s="47"/>
      <c r="GX157" s="47"/>
      <c r="GY157" s="47"/>
      <c r="GZ157" s="47"/>
      <c r="HA157" s="47"/>
      <c r="HB157" s="47"/>
      <c r="HC157" s="47"/>
      <c r="HD157" s="47"/>
      <c r="HE157" s="47"/>
      <c r="HF157" s="47"/>
      <c r="HG157" s="47"/>
      <c r="HH157" s="47"/>
      <c r="HI157" s="47"/>
      <c r="HJ157" s="47"/>
      <c r="HK157" s="47"/>
      <c r="HL157" s="47"/>
      <c r="HM157" s="47"/>
      <c r="HN157" s="47"/>
      <c r="HO157" s="47"/>
      <c r="HP157" s="47"/>
      <c r="HQ157" s="47"/>
      <c r="HR157" s="47"/>
      <c r="HS157" s="47"/>
      <c r="HT157" s="47"/>
      <c r="HU157" s="47"/>
      <c r="HV157" s="47"/>
      <c r="HW157" s="47"/>
      <c r="HX157" s="47"/>
      <c r="HY157" s="47"/>
      <c r="HZ157" s="47"/>
      <c r="IA157" s="47"/>
      <c r="IB157" s="47"/>
      <c r="IC157" s="47"/>
      <c r="ID157" s="47"/>
      <c r="IE157" s="47"/>
      <c r="IF157" s="47"/>
      <c r="IG157" s="47"/>
      <c r="IH157" s="47"/>
      <c r="II157" s="47"/>
      <c r="IJ157" s="47"/>
      <c r="IK157" s="47"/>
      <c r="IL157" s="47"/>
    </row>
    <row r="158" spans="2:246" ht="30" customHeight="1" x14ac:dyDescent="0.2">
      <c r="B158" s="48" t="s">
        <v>159</v>
      </c>
      <c r="C158" s="49" t="s">
        <v>60</v>
      </c>
      <c r="D158" s="50">
        <v>1</v>
      </c>
      <c r="E158" s="51">
        <f t="shared" si="18"/>
        <v>46120</v>
      </c>
      <c r="F158" s="51">
        <f>E158+2</f>
        <v>46122</v>
      </c>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47"/>
      <c r="EJ158" s="47"/>
      <c r="EK158" s="47"/>
      <c r="EL158" s="47"/>
      <c r="EM158" s="47"/>
      <c r="EN158" s="47"/>
      <c r="EO158" s="47"/>
      <c r="EP158" s="47"/>
      <c r="EQ158" s="47"/>
      <c r="ER158" s="47"/>
      <c r="ES158" s="47"/>
      <c r="ET158" s="47"/>
      <c r="EU158" s="47"/>
      <c r="EV158" s="47"/>
      <c r="EW158" s="47"/>
      <c r="EX158" s="47"/>
      <c r="EY158" s="47"/>
      <c r="EZ158" s="47"/>
      <c r="FA158" s="47"/>
      <c r="FB158" s="47"/>
      <c r="FC158" s="47"/>
      <c r="FD158" s="47"/>
      <c r="FE158" s="47"/>
      <c r="FF158" s="47"/>
      <c r="FG158" s="47"/>
      <c r="FH158" s="47"/>
      <c r="FI158" s="47"/>
      <c r="FJ158" s="47"/>
      <c r="FK158" s="47"/>
      <c r="FL158" s="47"/>
      <c r="FM158" s="47"/>
      <c r="FN158" s="47"/>
      <c r="FO158" s="47"/>
      <c r="FP158" s="47"/>
      <c r="FQ158" s="47"/>
      <c r="FR158" s="47"/>
      <c r="FS158" s="47"/>
      <c r="FT158" s="47"/>
      <c r="FU158" s="47"/>
      <c r="FV158" s="47"/>
      <c r="FW158" s="47"/>
      <c r="FX158" s="47"/>
      <c r="FY158" s="47"/>
      <c r="FZ158" s="47"/>
      <c r="GA158" s="47"/>
      <c r="GB158" s="47"/>
      <c r="GC158" s="47"/>
      <c r="GD158" s="47"/>
      <c r="GE158" s="47"/>
      <c r="GF158" s="47"/>
      <c r="GG158" s="47"/>
      <c r="GH158" s="47"/>
      <c r="GI158" s="47"/>
      <c r="GJ158" s="47"/>
      <c r="GK158" s="47"/>
      <c r="GL158" s="47"/>
      <c r="GM158" s="47"/>
      <c r="GN158" s="47"/>
      <c r="GO158" s="47"/>
      <c r="GP158" s="47"/>
      <c r="GQ158" s="47"/>
      <c r="GR158" s="47"/>
      <c r="GS158" s="47"/>
      <c r="GT158" s="47"/>
      <c r="GU158" s="47"/>
      <c r="GV158" s="47"/>
      <c r="GW158" s="47"/>
      <c r="GX158" s="47"/>
      <c r="GY158" s="47"/>
      <c r="GZ158" s="47"/>
      <c r="HA158" s="47"/>
      <c r="HB158" s="47"/>
      <c r="HC158" s="47"/>
      <c r="HD158" s="47"/>
      <c r="HE158" s="47"/>
      <c r="HF158" s="47"/>
      <c r="HG158" s="47"/>
      <c r="HH158" s="47"/>
      <c r="HI158" s="47"/>
      <c r="HJ158" s="47"/>
      <c r="HK158" s="47"/>
      <c r="HL158" s="47"/>
      <c r="HM158" s="47"/>
      <c r="HN158" s="47"/>
      <c r="HO158" s="47"/>
      <c r="HP158" s="47"/>
      <c r="HQ158" s="47"/>
      <c r="HR158" s="47"/>
      <c r="HS158" s="47"/>
      <c r="HT158" s="47"/>
      <c r="HU158" s="47"/>
      <c r="HV158" s="47"/>
      <c r="HW158" s="47"/>
      <c r="HX158" s="47"/>
      <c r="HY158" s="47"/>
      <c r="HZ158" s="47"/>
      <c r="IA158" s="47"/>
      <c r="IB158" s="47"/>
      <c r="IC158" s="47"/>
      <c r="ID158" s="47"/>
      <c r="IE158" s="47"/>
      <c r="IF158" s="47"/>
      <c r="IG158" s="47"/>
      <c r="IH158" s="47"/>
      <c r="II158" s="47"/>
      <c r="IJ158" s="47"/>
      <c r="IK158" s="47"/>
      <c r="IL158" s="47"/>
    </row>
    <row r="159" spans="2:246" ht="30" customHeight="1" x14ac:dyDescent="0.2">
      <c r="B159" s="53" t="s">
        <v>40</v>
      </c>
      <c r="C159" s="54"/>
      <c r="D159" s="55"/>
      <c r="E159" s="56"/>
      <c r="F159" s="5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47"/>
      <c r="EO159" s="47"/>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c r="FL159" s="47"/>
      <c r="FM159" s="47"/>
      <c r="FN159" s="47"/>
      <c r="FO159" s="47"/>
      <c r="FP159" s="47"/>
      <c r="FQ159" s="47"/>
      <c r="FR159" s="47"/>
      <c r="FS159" s="47"/>
      <c r="FT159" s="47"/>
      <c r="FU159" s="47"/>
      <c r="FV159" s="47"/>
      <c r="FW159" s="47"/>
      <c r="FX159" s="47"/>
      <c r="FY159" s="47"/>
      <c r="FZ159" s="47"/>
      <c r="GA159" s="47"/>
      <c r="GB159" s="47"/>
      <c r="GC159" s="47"/>
      <c r="GD159" s="47"/>
      <c r="GE159" s="47"/>
      <c r="GF159" s="47"/>
      <c r="GG159" s="47"/>
      <c r="GH159" s="47"/>
      <c r="GI159" s="47"/>
      <c r="GJ159" s="47"/>
      <c r="GK159" s="47"/>
      <c r="GL159" s="47"/>
      <c r="GM159" s="47"/>
      <c r="GN159" s="47"/>
      <c r="GO159" s="47"/>
      <c r="GP159" s="47"/>
      <c r="GQ159" s="47"/>
      <c r="GR159" s="47"/>
      <c r="GS159" s="47"/>
      <c r="GT159" s="47"/>
      <c r="GU159" s="47"/>
      <c r="GV159" s="47"/>
      <c r="GW159" s="47"/>
      <c r="GX159" s="47"/>
      <c r="GY159" s="47"/>
      <c r="GZ159" s="47"/>
      <c r="HA159" s="47"/>
      <c r="HB159" s="47"/>
      <c r="HC159" s="47"/>
      <c r="HD159" s="47"/>
      <c r="HE159" s="47"/>
      <c r="HF159" s="47"/>
      <c r="HG159" s="47"/>
      <c r="HH159" s="47"/>
      <c r="HI159" s="47"/>
      <c r="HJ159" s="47"/>
      <c r="HK159" s="47"/>
      <c r="HL159" s="47"/>
      <c r="HM159" s="47"/>
      <c r="HN159" s="47"/>
      <c r="HO159" s="47"/>
      <c r="HP159" s="47"/>
      <c r="HQ159" s="47"/>
      <c r="HR159" s="47"/>
      <c r="HS159" s="47"/>
      <c r="HT159" s="47"/>
      <c r="HU159" s="47"/>
      <c r="HV159" s="47"/>
      <c r="HW159" s="47"/>
      <c r="HX159" s="47"/>
      <c r="HY159" s="47"/>
      <c r="HZ159" s="47"/>
      <c r="IA159" s="47"/>
      <c r="IB159" s="47"/>
      <c r="IC159" s="47"/>
      <c r="ID159" s="47"/>
    </row>
    <row r="160" spans="2:246" ht="30" customHeight="1" x14ac:dyDescent="0.2">
      <c r="B160" s="58" t="s">
        <v>160</v>
      </c>
      <c r="C160" s="59" t="s">
        <v>60</v>
      </c>
      <c r="D160" s="50">
        <v>1</v>
      </c>
      <c r="E160" s="60">
        <v>46064</v>
      </c>
      <c r="F160" s="60">
        <f>E160+7</f>
        <v>46071</v>
      </c>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47"/>
      <c r="EJ160" s="47"/>
      <c r="EK160" s="47"/>
      <c r="EL160" s="47"/>
      <c r="EM160" s="47"/>
      <c r="EN160" s="47"/>
      <c r="EO160" s="47"/>
      <c r="EP160" s="47"/>
      <c r="EQ160" s="47"/>
      <c r="ER160" s="47"/>
      <c r="ES160" s="47"/>
      <c r="ET160" s="47"/>
      <c r="EU160" s="47"/>
      <c r="EV160" s="47"/>
      <c r="EW160" s="47"/>
      <c r="EX160" s="47"/>
      <c r="EY160" s="47"/>
      <c r="EZ160" s="47"/>
      <c r="FA160" s="47"/>
      <c r="FB160" s="47"/>
      <c r="FC160" s="47"/>
      <c r="FD160" s="47"/>
      <c r="FE160" s="47"/>
      <c r="FF160" s="47"/>
      <c r="FG160" s="47"/>
      <c r="FH160" s="47"/>
      <c r="FI160" s="47"/>
      <c r="FJ160" s="47"/>
      <c r="FK160" s="47"/>
      <c r="FL160" s="47"/>
      <c r="FM160" s="47"/>
      <c r="FN160" s="47"/>
      <c r="FO160" s="47"/>
      <c r="FP160" s="47"/>
      <c r="FQ160" s="47"/>
      <c r="FR160" s="47"/>
      <c r="FS160" s="47"/>
      <c r="FT160" s="47"/>
      <c r="FU160" s="47"/>
      <c r="FV160" s="47"/>
      <c r="FW160" s="47"/>
      <c r="FX160" s="47"/>
      <c r="FY160" s="47"/>
      <c r="FZ160" s="47"/>
      <c r="GA160" s="47"/>
      <c r="GB160" s="47"/>
      <c r="GC160" s="47"/>
      <c r="GD160" s="47"/>
      <c r="GE160" s="47"/>
      <c r="GF160" s="47"/>
      <c r="GG160" s="47"/>
      <c r="GH160" s="47"/>
      <c r="GI160" s="47"/>
      <c r="GJ160" s="47"/>
      <c r="GK160" s="47"/>
      <c r="GL160" s="47"/>
      <c r="GM160" s="47"/>
      <c r="GN160" s="47"/>
      <c r="GO160" s="47"/>
      <c r="GP160" s="47"/>
      <c r="GQ160" s="47"/>
      <c r="GR160" s="47"/>
      <c r="GS160" s="47"/>
      <c r="GT160" s="47"/>
      <c r="GU160" s="47"/>
      <c r="GV160" s="47"/>
      <c r="GW160" s="47"/>
      <c r="GX160" s="47"/>
      <c r="GY160" s="47"/>
      <c r="GZ160" s="47"/>
      <c r="HA160" s="47"/>
      <c r="HB160" s="47"/>
      <c r="HC160" s="47"/>
      <c r="HD160" s="47"/>
      <c r="HE160" s="47"/>
      <c r="HF160" s="47"/>
      <c r="HG160" s="47"/>
      <c r="HH160" s="47"/>
      <c r="HI160" s="47"/>
      <c r="HJ160" s="47"/>
      <c r="HK160" s="47"/>
      <c r="HL160" s="47"/>
      <c r="HM160" s="47"/>
      <c r="HN160" s="47"/>
      <c r="HO160" s="47"/>
      <c r="HP160" s="47"/>
      <c r="HQ160" s="47"/>
      <c r="HR160" s="47"/>
      <c r="HS160" s="47"/>
      <c r="HT160" s="47"/>
      <c r="HU160" s="47"/>
      <c r="HV160" s="47"/>
      <c r="HW160" s="47"/>
      <c r="HX160" s="47"/>
      <c r="HY160" s="47"/>
      <c r="HZ160" s="47"/>
      <c r="IA160" s="47"/>
      <c r="IB160" s="47"/>
      <c r="IC160" s="47"/>
      <c r="ID160" s="47"/>
    </row>
    <row r="161" spans="2:238" ht="30" customHeight="1" x14ac:dyDescent="0.2">
      <c r="B161" s="58" t="s">
        <v>166</v>
      </c>
      <c r="C161" s="59" t="s">
        <v>60</v>
      </c>
      <c r="D161" s="50">
        <v>1</v>
      </c>
      <c r="E161" s="60">
        <v>46073</v>
      </c>
      <c r="F161" s="60">
        <f>E161+2</f>
        <v>46075</v>
      </c>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47"/>
      <c r="EO161" s="47"/>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c r="FL161" s="47"/>
      <c r="FM161" s="47"/>
      <c r="FN161" s="47"/>
      <c r="FO161" s="47"/>
      <c r="FP161" s="47"/>
      <c r="FQ161" s="47"/>
      <c r="FR161" s="47"/>
      <c r="FS161" s="47"/>
      <c r="FT161" s="47"/>
      <c r="FU161" s="47"/>
      <c r="FV161" s="47"/>
      <c r="FW161" s="47"/>
      <c r="FX161" s="47"/>
      <c r="FY161" s="47"/>
      <c r="FZ161" s="47"/>
      <c r="GA161" s="47"/>
      <c r="GB161" s="47"/>
      <c r="GC161" s="47"/>
      <c r="GD161" s="47"/>
      <c r="GE161" s="47"/>
      <c r="GF161" s="47"/>
      <c r="GG161" s="47"/>
      <c r="GH161" s="47"/>
      <c r="GI161" s="47"/>
      <c r="GJ161" s="47"/>
      <c r="GK161" s="47"/>
      <c r="GL161" s="47"/>
      <c r="GM161" s="47"/>
      <c r="GN161" s="47"/>
      <c r="GO161" s="47"/>
      <c r="GP161" s="47"/>
      <c r="GQ161" s="47"/>
      <c r="GR161" s="47"/>
      <c r="GS161" s="47"/>
      <c r="GT161" s="47"/>
      <c r="GU161" s="47"/>
      <c r="GV161" s="47"/>
      <c r="GW161" s="47"/>
      <c r="GX161" s="47"/>
      <c r="GY161" s="47"/>
      <c r="GZ161" s="47"/>
      <c r="HA161" s="47"/>
      <c r="HB161" s="47"/>
      <c r="HC161" s="47"/>
      <c r="HD161" s="47"/>
      <c r="HE161" s="47"/>
      <c r="HF161" s="47"/>
      <c r="HG161" s="47"/>
      <c r="HH161" s="47"/>
      <c r="HI161" s="47"/>
      <c r="HJ161" s="47"/>
      <c r="HK161" s="47"/>
      <c r="HL161" s="47"/>
      <c r="HM161" s="47"/>
      <c r="HN161" s="47"/>
      <c r="HO161" s="47"/>
      <c r="HP161" s="47"/>
      <c r="HQ161" s="47"/>
      <c r="HR161" s="47"/>
      <c r="HS161" s="47"/>
      <c r="HT161" s="47"/>
      <c r="HU161" s="47"/>
      <c r="HV161" s="47"/>
      <c r="HW161" s="47"/>
      <c r="HX161" s="47"/>
      <c r="HY161" s="47"/>
      <c r="HZ161" s="47"/>
      <c r="IA161" s="47"/>
      <c r="IB161" s="47"/>
      <c r="IC161" s="47"/>
      <c r="ID161" s="47"/>
    </row>
    <row r="162" spans="2:238" ht="30" customHeight="1" x14ac:dyDescent="0.2">
      <c r="B162" s="58" t="s">
        <v>161</v>
      </c>
      <c r="C162" s="59" t="s">
        <v>60</v>
      </c>
      <c r="D162" s="50">
        <v>1</v>
      </c>
      <c r="E162" s="60">
        <v>46075</v>
      </c>
      <c r="F162" s="60">
        <f>E162+7</f>
        <v>46082</v>
      </c>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47"/>
      <c r="EJ162" s="47"/>
      <c r="EK162" s="47"/>
      <c r="EL162" s="47"/>
      <c r="EM162" s="47"/>
      <c r="EN162" s="47"/>
      <c r="EO162" s="47"/>
      <c r="EP162" s="47"/>
      <c r="EQ162" s="47"/>
      <c r="ER162" s="47"/>
      <c r="ES162" s="47"/>
      <c r="ET162" s="47"/>
      <c r="EU162" s="47"/>
      <c r="EV162" s="47"/>
      <c r="EW162" s="47"/>
      <c r="EX162" s="47"/>
      <c r="EY162" s="47"/>
      <c r="EZ162" s="47"/>
      <c r="FA162" s="47"/>
      <c r="FB162" s="47"/>
      <c r="FC162" s="47"/>
      <c r="FD162" s="47"/>
      <c r="FE162" s="47"/>
      <c r="FF162" s="47"/>
      <c r="FG162" s="47"/>
      <c r="FH162" s="47"/>
      <c r="FI162" s="47"/>
      <c r="FJ162" s="47"/>
      <c r="FK162" s="47"/>
      <c r="FL162" s="47"/>
      <c r="FM162" s="47"/>
      <c r="FN162" s="47"/>
      <c r="FO162" s="47"/>
      <c r="FP162" s="47"/>
      <c r="FQ162" s="47"/>
      <c r="FR162" s="47"/>
      <c r="FS162" s="47"/>
      <c r="FT162" s="47"/>
      <c r="FU162" s="47"/>
      <c r="FV162" s="47"/>
      <c r="FW162" s="47"/>
      <c r="FX162" s="47"/>
      <c r="FY162" s="47"/>
      <c r="FZ162" s="47"/>
      <c r="GA162" s="47"/>
      <c r="GB162" s="47"/>
      <c r="GC162" s="47"/>
      <c r="GD162" s="47"/>
      <c r="GE162" s="47"/>
      <c r="GF162" s="47"/>
      <c r="GG162" s="47"/>
      <c r="GH162" s="47"/>
      <c r="GI162" s="47"/>
      <c r="GJ162" s="47"/>
      <c r="GK162" s="47"/>
      <c r="GL162" s="47"/>
      <c r="GM162" s="47"/>
      <c r="GN162" s="47"/>
      <c r="GO162" s="47"/>
      <c r="GP162" s="47"/>
      <c r="GQ162" s="47"/>
      <c r="GR162" s="47"/>
      <c r="GS162" s="47"/>
      <c r="GT162" s="47"/>
      <c r="GU162" s="47"/>
      <c r="GV162" s="47"/>
      <c r="GW162" s="47"/>
      <c r="GX162" s="47"/>
      <c r="GY162" s="47"/>
      <c r="GZ162" s="47"/>
      <c r="HA162" s="47"/>
      <c r="HB162" s="47"/>
      <c r="HC162" s="47"/>
      <c r="HD162" s="47"/>
      <c r="HE162" s="47"/>
      <c r="HF162" s="47"/>
      <c r="HG162" s="47"/>
      <c r="HH162" s="47"/>
      <c r="HI162" s="47"/>
      <c r="HJ162" s="47"/>
      <c r="HK162" s="47"/>
      <c r="HL162" s="47"/>
      <c r="HM162" s="47"/>
      <c r="HN162" s="47"/>
      <c r="HO162" s="47"/>
      <c r="HP162" s="47"/>
      <c r="HQ162" s="47"/>
      <c r="HR162" s="47"/>
      <c r="HS162" s="47"/>
      <c r="HT162" s="47"/>
      <c r="HU162" s="47"/>
      <c r="HV162" s="47"/>
      <c r="HW162" s="47"/>
      <c r="HX162" s="47"/>
      <c r="HY162" s="47"/>
      <c r="HZ162" s="47"/>
      <c r="IA162" s="47"/>
      <c r="IB162" s="47"/>
      <c r="IC162" s="47"/>
      <c r="ID162" s="47"/>
    </row>
    <row r="163" spans="2:238" ht="30" customHeight="1" x14ac:dyDescent="0.2">
      <c r="B163" s="58" t="s">
        <v>163</v>
      </c>
      <c r="C163" s="59" t="s">
        <v>60</v>
      </c>
      <c r="D163" s="50">
        <v>1</v>
      </c>
      <c r="E163" s="60">
        <v>46084</v>
      </c>
      <c r="F163" s="60">
        <f>E163+2</f>
        <v>46086</v>
      </c>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c r="FL163" s="47"/>
      <c r="FM163" s="47"/>
      <c r="FN163" s="47"/>
      <c r="FO163" s="47"/>
      <c r="FP163" s="47"/>
      <c r="FQ163" s="47"/>
      <c r="FR163" s="47"/>
      <c r="FS163" s="47"/>
      <c r="FT163" s="47"/>
      <c r="FU163" s="47"/>
      <c r="FV163" s="47"/>
      <c r="FW163" s="47"/>
      <c r="FX163" s="47"/>
      <c r="FY163" s="47"/>
      <c r="FZ163" s="47"/>
      <c r="GA163" s="47"/>
      <c r="GB163" s="47"/>
      <c r="GC163" s="47"/>
      <c r="GD163" s="47"/>
      <c r="GE163" s="47"/>
      <c r="GF163" s="47"/>
      <c r="GG163" s="47"/>
      <c r="GH163" s="47"/>
      <c r="GI163" s="47"/>
      <c r="GJ163" s="47"/>
      <c r="GK163" s="47"/>
      <c r="GL163" s="47"/>
      <c r="GM163" s="47"/>
      <c r="GN163" s="47"/>
      <c r="GO163" s="47"/>
      <c r="GP163" s="47"/>
      <c r="GQ163" s="47"/>
      <c r="GR163" s="47"/>
      <c r="GS163" s="47"/>
      <c r="GT163" s="47"/>
      <c r="GU163" s="47"/>
      <c r="GV163" s="47"/>
      <c r="GW163" s="47"/>
      <c r="GX163" s="47"/>
      <c r="GY163" s="47"/>
      <c r="GZ163" s="47"/>
      <c r="HA163" s="47"/>
      <c r="HB163" s="47"/>
      <c r="HC163" s="47"/>
      <c r="HD163" s="47"/>
      <c r="HE163" s="47"/>
      <c r="HF163" s="47"/>
      <c r="HG163" s="47"/>
      <c r="HH163" s="47"/>
      <c r="HI163" s="47"/>
      <c r="HJ163" s="47"/>
      <c r="HK163" s="47"/>
      <c r="HL163" s="47"/>
      <c r="HM163" s="47"/>
      <c r="HN163" s="47"/>
      <c r="HO163" s="47"/>
      <c r="HP163" s="47"/>
      <c r="HQ163" s="47"/>
      <c r="HR163" s="47"/>
      <c r="HS163" s="47"/>
      <c r="HT163" s="47"/>
      <c r="HU163" s="47"/>
      <c r="HV163" s="47"/>
      <c r="HW163" s="47"/>
      <c r="HX163" s="47"/>
      <c r="HY163" s="47"/>
      <c r="HZ163" s="47"/>
      <c r="IA163" s="47"/>
      <c r="IB163" s="47"/>
      <c r="IC163" s="47"/>
      <c r="ID163" s="47"/>
    </row>
    <row r="164" spans="2:238" ht="30" customHeight="1" x14ac:dyDescent="0.2">
      <c r="B164" s="58" t="s">
        <v>170</v>
      </c>
      <c r="C164" s="59" t="s">
        <v>60</v>
      </c>
      <c r="D164" s="50">
        <v>1</v>
      </c>
      <c r="E164" s="60">
        <v>46088</v>
      </c>
      <c r="F164" s="60">
        <f>E164+7</f>
        <v>46095</v>
      </c>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47"/>
      <c r="EJ164" s="47"/>
      <c r="EK164" s="47"/>
      <c r="EL164" s="47"/>
      <c r="EM164" s="47"/>
      <c r="EN164" s="47"/>
      <c r="EO164" s="47"/>
      <c r="EP164" s="47"/>
      <c r="EQ164" s="47"/>
      <c r="ER164" s="47"/>
      <c r="ES164" s="47"/>
      <c r="ET164" s="47"/>
      <c r="EU164" s="47"/>
      <c r="EV164" s="47"/>
      <c r="EW164" s="47"/>
      <c r="EX164" s="47"/>
      <c r="EY164" s="47"/>
      <c r="EZ164" s="47"/>
      <c r="FA164" s="47"/>
      <c r="FB164" s="47"/>
      <c r="FC164" s="47"/>
      <c r="FD164" s="47"/>
      <c r="FE164" s="47"/>
      <c r="FF164" s="47"/>
      <c r="FG164" s="47"/>
      <c r="FH164" s="47"/>
      <c r="FI164" s="47"/>
      <c r="FJ164" s="47"/>
      <c r="FK164" s="47"/>
      <c r="FL164" s="47"/>
      <c r="FM164" s="47"/>
      <c r="FN164" s="47"/>
      <c r="FO164" s="47"/>
      <c r="FP164" s="47"/>
      <c r="FQ164" s="47"/>
      <c r="FR164" s="47"/>
      <c r="FS164" s="47"/>
      <c r="FT164" s="47"/>
      <c r="FU164" s="47"/>
      <c r="FV164" s="47"/>
      <c r="FW164" s="47"/>
      <c r="FX164" s="47"/>
      <c r="FY164" s="47"/>
      <c r="FZ164" s="47"/>
      <c r="GA164" s="47"/>
      <c r="GB164" s="47"/>
      <c r="GC164" s="47"/>
      <c r="GD164" s="47"/>
      <c r="GE164" s="47"/>
      <c r="GF164" s="47"/>
      <c r="GG164" s="47"/>
      <c r="GH164" s="47"/>
      <c r="GI164" s="47"/>
      <c r="GJ164" s="47"/>
      <c r="GK164" s="47"/>
      <c r="GL164" s="47"/>
      <c r="GM164" s="47"/>
      <c r="GN164" s="47"/>
      <c r="GO164" s="47"/>
      <c r="GP164" s="47"/>
      <c r="GQ164" s="47"/>
      <c r="GR164" s="47"/>
      <c r="GS164" s="47"/>
      <c r="GT164" s="47"/>
      <c r="GU164" s="47"/>
      <c r="GV164" s="47"/>
      <c r="GW164" s="47"/>
      <c r="GX164" s="47"/>
      <c r="GY164" s="47"/>
      <c r="GZ164" s="47"/>
      <c r="HA164" s="47"/>
      <c r="HB164" s="47"/>
      <c r="HC164" s="47"/>
      <c r="HD164" s="47"/>
      <c r="HE164" s="47"/>
      <c r="HF164" s="47"/>
      <c r="HG164" s="47"/>
      <c r="HH164" s="47"/>
      <c r="HI164" s="47"/>
      <c r="HJ164" s="47"/>
      <c r="HK164" s="47"/>
      <c r="HL164" s="47"/>
      <c r="HM164" s="47"/>
      <c r="HN164" s="47"/>
      <c r="HO164" s="47"/>
      <c r="HP164" s="47"/>
      <c r="HQ164" s="47"/>
      <c r="HR164" s="47"/>
      <c r="HS164" s="47"/>
      <c r="HT164" s="47"/>
      <c r="HU164" s="47"/>
      <c r="HV164" s="47"/>
      <c r="HW164" s="47"/>
      <c r="HX164" s="47"/>
      <c r="HY164" s="47"/>
      <c r="HZ164" s="47"/>
      <c r="IA164" s="47"/>
      <c r="IB164" s="47"/>
      <c r="IC164" s="47"/>
      <c r="ID164" s="47"/>
    </row>
    <row r="165" spans="2:238" ht="30" customHeight="1" x14ac:dyDescent="0.2">
      <c r="B165" s="58" t="s">
        <v>164</v>
      </c>
      <c r="C165" s="59" t="s">
        <v>60</v>
      </c>
      <c r="D165" s="50">
        <v>1</v>
      </c>
      <c r="E165" s="60">
        <v>46097</v>
      </c>
      <c r="F165" s="60">
        <f>E165+2</f>
        <v>46099</v>
      </c>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47"/>
      <c r="EO165" s="47"/>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c r="FL165" s="47"/>
      <c r="FM165" s="47"/>
      <c r="FN165" s="47"/>
      <c r="FO165" s="47"/>
      <c r="FP165" s="47"/>
      <c r="FQ165" s="47"/>
      <c r="FR165" s="47"/>
      <c r="FS165" s="47"/>
      <c r="FT165" s="47"/>
      <c r="FU165" s="47"/>
      <c r="FV165" s="47"/>
      <c r="FW165" s="47"/>
      <c r="FX165" s="47"/>
      <c r="FY165" s="47"/>
      <c r="FZ165" s="47"/>
      <c r="GA165" s="47"/>
      <c r="GB165" s="47"/>
      <c r="GC165" s="47"/>
      <c r="GD165" s="47"/>
      <c r="GE165" s="47"/>
      <c r="GF165" s="47"/>
      <c r="GG165" s="47"/>
      <c r="GH165" s="47"/>
      <c r="GI165" s="47"/>
      <c r="GJ165" s="47"/>
      <c r="GK165" s="47"/>
      <c r="GL165" s="47"/>
      <c r="GM165" s="47"/>
      <c r="GN165" s="47"/>
      <c r="GO165" s="47"/>
      <c r="GP165" s="47"/>
      <c r="GQ165" s="47"/>
      <c r="GR165" s="47"/>
      <c r="GS165" s="47"/>
      <c r="GT165" s="47"/>
      <c r="GU165" s="47"/>
      <c r="GV165" s="47"/>
      <c r="GW165" s="47"/>
      <c r="GX165" s="47"/>
      <c r="GY165" s="47"/>
      <c r="GZ165" s="47"/>
      <c r="HA165" s="47"/>
      <c r="HB165" s="47"/>
      <c r="HC165" s="47"/>
      <c r="HD165" s="47"/>
      <c r="HE165" s="47"/>
      <c r="HF165" s="47"/>
      <c r="HG165" s="47"/>
      <c r="HH165" s="47"/>
      <c r="HI165" s="47"/>
      <c r="HJ165" s="47"/>
      <c r="HK165" s="47"/>
      <c r="HL165" s="47"/>
      <c r="HM165" s="47"/>
      <c r="HN165" s="47"/>
      <c r="HO165" s="47"/>
      <c r="HP165" s="47"/>
      <c r="HQ165" s="47"/>
      <c r="HR165" s="47"/>
      <c r="HS165" s="47"/>
      <c r="HT165" s="47"/>
      <c r="HU165" s="47"/>
      <c r="HV165" s="47"/>
      <c r="HW165" s="47"/>
      <c r="HX165" s="47"/>
      <c r="HY165" s="47"/>
      <c r="HZ165" s="47"/>
      <c r="IA165" s="47"/>
      <c r="IB165" s="47"/>
      <c r="IC165" s="47"/>
      <c r="ID165" s="47"/>
    </row>
    <row r="166" spans="2:238" ht="30" customHeight="1" x14ac:dyDescent="0.2">
      <c r="B166" s="58" t="s">
        <v>162</v>
      </c>
      <c r="C166" s="59" t="s">
        <v>60</v>
      </c>
      <c r="D166" s="50">
        <v>1</v>
      </c>
      <c r="E166" s="60">
        <v>46101</v>
      </c>
      <c r="F166" s="60">
        <f>E166+7</f>
        <v>46108</v>
      </c>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47"/>
      <c r="EJ166" s="47"/>
      <c r="EK166" s="47"/>
      <c r="EL166" s="47"/>
      <c r="EM166" s="47"/>
      <c r="EN166" s="47"/>
      <c r="EO166" s="47"/>
      <c r="EP166" s="47"/>
      <c r="EQ166" s="47"/>
      <c r="ER166" s="47"/>
      <c r="ES166" s="47"/>
      <c r="ET166" s="47"/>
      <c r="EU166" s="47"/>
      <c r="EV166" s="47"/>
      <c r="EW166" s="47"/>
      <c r="EX166" s="47"/>
      <c r="EY166" s="47"/>
      <c r="EZ166" s="47"/>
      <c r="FA166" s="47"/>
      <c r="FB166" s="47"/>
      <c r="FC166" s="47"/>
      <c r="FD166" s="47"/>
      <c r="FE166" s="47"/>
      <c r="FF166" s="47"/>
      <c r="FG166" s="47"/>
      <c r="FH166" s="47"/>
      <c r="FI166" s="47"/>
      <c r="FJ166" s="47"/>
      <c r="FK166" s="47"/>
      <c r="FL166" s="47"/>
      <c r="FM166" s="47"/>
      <c r="FN166" s="47"/>
      <c r="FO166" s="47"/>
      <c r="FP166" s="47"/>
      <c r="FQ166" s="47"/>
      <c r="FR166" s="47"/>
      <c r="FS166" s="47"/>
      <c r="FT166" s="47"/>
      <c r="FU166" s="47"/>
      <c r="FV166" s="47"/>
      <c r="FW166" s="47"/>
      <c r="FX166" s="47"/>
      <c r="FY166" s="47"/>
      <c r="FZ166" s="47"/>
      <c r="GA166" s="47"/>
      <c r="GB166" s="47"/>
      <c r="GC166" s="47"/>
      <c r="GD166" s="47"/>
      <c r="GE166" s="47"/>
      <c r="GF166" s="47"/>
      <c r="GG166" s="47"/>
      <c r="GH166" s="47"/>
      <c r="GI166" s="47"/>
      <c r="GJ166" s="47"/>
      <c r="GK166" s="47"/>
      <c r="GL166" s="47"/>
      <c r="GM166" s="47"/>
      <c r="GN166" s="47"/>
      <c r="GO166" s="47"/>
      <c r="GP166" s="47"/>
      <c r="GQ166" s="47"/>
      <c r="GR166" s="47"/>
      <c r="GS166" s="47"/>
      <c r="GT166" s="47"/>
      <c r="GU166" s="47"/>
      <c r="GV166" s="47"/>
      <c r="GW166" s="47"/>
      <c r="GX166" s="47"/>
      <c r="GY166" s="47"/>
      <c r="GZ166" s="47"/>
      <c r="HA166" s="47"/>
      <c r="HB166" s="47"/>
      <c r="HC166" s="47"/>
      <c r="HD166" s="47"/>
      <c r="HE166" s="47"/>
      <c r="HF166" s="47"/>
      <c r="HG166" s="47"/>
      <c r="HH166" s="47"/>
      <c r="HI166" s="47"/>
      <c r="HJ166" s="47"/>
      <c r="HK166" s="47"/>
      <c r="HL166" s="47"/>
      <c r="HM166" s="47"/>
      <c r="HN166" s="47"/>
      <c r="HO166" s="47"/>
      <c r="HP166" s="47"/>
      <c r="HQ166" s="47"/>
      <c r="HR166" s="47"/>
      <c r="HS166" s="47"/>
      <c r="HT166" s="47"/>
      <c r="HU166" s="47"/>
      <c r="HV166" s="47"/>
      <c r="HW166" s="47"/>
      <c r="HX166" s="47"/>
      <c r="HY166" s="47"/>
      <c r="HZ166" s="47"/>
      <c r="IA166" s="47"/>
      <c r="IB166" s="47"/>
      <c r="IC166" s="47"/>
      <c r="ID166" s="47"/>
    </row>
    <row r="167" spans="2:238" ht="30" customHeight="1" x14ac:dyDescent="0.2">
      <c r="B167" s="58" t="s">
        <v>165</v>
      </c>
      <c r="C167" s="59" t="s">
        <v>60</v>
      </c>
      <c r="D167" s="50">
        <v>1</v>
      </c>
      <c r="E167" s="60">
        <v>46108</v>
      </c>
      <c r="F167" s="60">
        <f>E167+2</f>
        <v>46110</v>
      </c>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47"/>
      <c r="EO167" s="47"/>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c r="FL167" s="47"/>
      <c r="FM167" s="47"/>
      <c r="FN167" s="47"/>
      <c r="FO167" s="47"/>
      <c r="FP167" s="47"/>
      <c r="FQ167" s="47"/>
      <c r="FR167" s="47"/>
      <c r="FS167" s="47"/>
      <c r="FT167" s="47"/>
      <c r="FU167" s="47"/>
      <c r="FV167" s="47"/>
      <c r="FW167" s="47"/>
      <c r="FX167" s="47"/>
      <c r="FY167" s="47"/>
      <c r="FZ167" s="47"/>
      <c r="GA167" s="47"/>
      <c r="GB167" s="47"/>
      <c r="GC167" s="47"/>
      <c r="GD167" s="47"/>
      <c r="GE167" s="47"/>
      <c r="GF167" s="47"/>
      <c r="GG167" s="47"/>
      <c r="GH167" s="47"/>
      <c r="GI167" s="47"/>
      <c r="GJ167" s="47"/>
      <c r="GK167" s="47"/>
      <c r="GL167" s="47"/>
      <c r="GM167" s="47"/>
      <c r="GN167" s="47"/>
      <c r="GO167" s="47"/>
      <c r="GP167" s="47"/>
      <c r="GQ167" s="47"/>
      <c r="GR167" s="47"/>
      <c r="GS167" s="47"/>
      <c r="GT167" s="47"/>
      <c r="GU167" s="47"/>
      <c r="GV167" s="47"/>
      <c r="GW167" s="47"/>
      <c r="GX167" s="47"/>
      <c r="GY167" s="47"/>
      <c r="GZ167" s="47"/>
      <c r="HA167" s="47"/>
      <c r="HB167" s="47"/>
      <c r="HC167" s="47"/>
      <c r="HD167" s="47"/>
      <c r="HE167" s="47"/>
      <c r="HF167" s="47"/>
      <c r="HG167" s="47"/>
      <c r="HH167" s="47"/>
      <c r="HI167" s="47"/>
      <c r="HJ167" s="47"/>
      <c r="HK167" s="47"/>
      <c r="HL167" s="47"/>
      <c r="HM167" s="47"/>
      <c r="HN167" s="47"/>
      <c r="HO167" s="47"/>
      <c r="HP167" s="47"/>
      <c r="HQ167" s="47"/>
      <c r="HR167" s="47"/>
      <c r="HS167" s="47"/>
      <c r="HT167" s="47"/>
      <c r="HU167" s="47"/>
      <c r="HV167" s="47"/>
      <c r="HW167" s="47"/>
      <c r="HX167" s="47"/>
      <c r="HY167" s="47"/>
      <c r="HZ167" s="47"/>
      <c r="IA167" s="47"/>
      <c r="IB167" s="47"/>
      <c r="IC167" s="47"/>
      <c r="ID167" s="47"/>
    </row>
    <row r="168" spans="2:238" ht="30" customHeight="1" x14ac:dyDescent="0.2">
      <c r="B168" s="58" t="s">
        <v>171</v>
      </c>
      <c r="C168" s="59" t="s">
        <v>60</v>
      </c>
      <c r="D168" s="50">
        <v>1</v>
      </c>
      <c r="E168" s="60">
        <v>46110</v>
      </c>
      <c r="F168" s="60">
        <f>E168+3</f>
        <v>46113</v>
      </c>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47"/>
      <c r="EJ168" s="47"/>
      <c r="EK168" s="47"/>
      <c r="EL168" s="47"/>
      <c r="EM168" s="47"/>
      <c r="EN168" s="47"/>
      <c r="EO168" s="47"/>
      <c r="EP168" s="47"/>
      <c r="EQ168" s="47"/>
      <c r="ER168" s="47"/>
      <c r="ES168" s="47"/>
      <c r="ET168" s="47"/>
      <c r="EU168" s="47"/>
      <c r="EV168" s="47"/>
      <c r="EW168" s="47"/>
      <c r="EX168" s="47"/>
      <c r="EY168" s="47"/>
      <c r="EZ168" s="47"/>
      <c r="FA168" s="47"/>
      <c r="FB168" s="47"/>
      <c r="FC168" s="47"/>
      <c r="FD168" s="47"/>
      <c r="FE168" s="47"/>
      <c r="FF168" s="47"/>
      <c r="FG168" s="47"/>
      <c r="FH168" s="47"/>
      <c r="FI168" s="47"/>
      <c r="FJ168" s="47"/>
      <c r="FK168" s="47"/>
      <c r="FL168" s="47"/>
      <c r="FM168" s="47"/>
      <c r="FN168" s="47"/>
      <c r="FO168" s="47"/>
      <c r="FP168" s="47"/>
      <c r="FQ168" s="47"/>
      <c r="FR168" s="47"/>
      <c r="FS168" s="47"/>
      <c r="FT168" s="47"/>
      <c r="FU168" s="47"/>
      <c r="FV168" s="47"/>
      <c r="FW168" s="47"/>
      <c r="FX168" s="47"/>
      <c r="FY168" s="47"/>
      <c r="FZ168" s="47"/>
      <c r="GA168" s="47"/>
      <c r="GB168" s="47"/>
      <c r="GC168" s="47"/>
      <c r="GD168" s="47"/>
      <c r="GE168" s="47"/>
      <c r="GF168" s="47"/>
      <c r="GG168" s="47"/>
      <c r="GH168" s="47"/>
      <c r="GI168" s="47"/>
      <c r="GJ168" s="47"/>
      <c r="GK168" s="47"/>
      <c r="GL168" s="47"/>
      <c r="GM168" s="47"/>
      <c r="GN168" s="47"/>
      <c r="GO168" s="47"/>
      <c r="GP168" s="47"/>
      <c r="GQ168" s="47"/>
      <c r="GR168" s="47"/>
      <c r="GS168" s="47"/>
      <c r="GT168" s="47"/>
      <c r="GU168" s="47"/>
      <c r="GV168" s="47"/>
      <c r="GW168" s="47"/>
      <c r="GX168" s="47"/>
      <c r="GY168" s="47"/>
      <c r="GZ168" s="47"/>
      <c r="HA168" s="47"/>
      <c r="HB168" s="47"/>
      <c r="HC168" s="47"/>
      <c r="HD168" s="47"/>
      <c r="HE168" s="47"/>
      <c r="HF168" s="47"/>
      <c r="HG168" s="47"/>
      <c r="HH168" s="47"/>
      <c r="HI168" s="47"/>
      <c r="HJ168" s="47"/>
      <c r="HK168" s="47"/>
      <c r="HL168" s="47"/>
      <c r="HM168" s="47"/>
      <c r="HN168" s="47"/>
      <c r="HO168" s="47"/>
      <c r="HP168" s="47"/>
      <c r="HQ168" s="47"/>
      <c r="HR168" s="47"/>
      <c r="HS168" s="47"/>
      <c r="HT168" s="47"/>
      <c r="HU168" s="47"/>
      <c r="HV168" s="47"/>
      <c r="HW168" s="47"/>
      <c r="HX168" s="47"/>
      <c r="HY168" s="47"/>
      <c r="HZ168" s="47"/>
      <c r="IA168" s="47"/>
      <c r="IB168" s="47"/>
      <c r="IC168" s="47"/>
      <c r="ID168" s="47"/>
    </row>
    <row r="169" spans="2:238" ht="30" customHeight="1" x14ac:dyDescent="0.2">
      <c r="B169" s="58" t="s">
        <v>167</v>
      </c>
      <c r="C169" s="59" t="s">
        <v>60</v>
      </c>
      <c r="D169" s="50">
        <v>1</v>
      </c>
      <c r="E169" s="60">
        <v>46111</v>
      </c>
      <c r="F169" s="60">
        <f>E169+2</f>
        <v>46113</v>
      </c>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47"/>
      <c r="EO169" s="47"/>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c r="FL169" s="47"/>
      <c r="FM169" s="47"/>
      <c r="FN169" s="47"/>
      <c r="FO169" s="47"/>
      <c r="FP169" s="47"/>
      <c r="FQ169" s="47"/>
      <c r="FR169" s="47"/>
      <c r="FS169" s="47"/>
      <c r="FT169" s="47"/>
      <c r="FU169" s="47"/>
      <c r="FV169" s="47"/>
      <c r="FW169" s="47"/>
      <c r="FX169" s="47"/>
      <c r="FY169" s="47"/>
      <c r="FZ169" s="47"/>
      <c r="GA169" s="47"/>
      <c r="GB169" s="47"/>
      <c r="GC169" s="47"/>
      <c r="GD169" s="47"/>
      <c r="GE169" s="47"/>
      <c r="GF169" s="47"/>
      <c r="GG169" s="47"/>
      <c r="GH169" s="47"/>
      <c r="GI169" s="47"/>
      <c r="GJ169" s="47"/>
      <c r="GK169" s="47"/>
      <c r="GL169" s="47"/>
      <c r="GM169" s="47"/>
      <c r="GN169" s="47"/>
      <c r="GO169" s="47"/>
      <c r="GP169" s="47"/>
      <c r="GQ169" s="47"/>
      <c r="GR169" s="47"/>
      <c r="GS169" s="47"/>
      <c r="GT169" s="47"/>
      <c r="GU169" s="47"/>
      <c r="GV169" s="47"/>
      <c r="GW169" s="47"/>
      <c r="GX169" s="47"/>
      <c r="GY169" s="47"/>
      <c r="GZ169" s="47"/>
      <c r="HA169" s="47"/>
      <c r="HB169" s="47"/>
      <c r="HC169" s="47"/>
      <c r="HD169" s="47"/>
      <c r="HE169" s="47"/>
      <c r="HF169" s="47"/>
      <c r="HG169" s="47"/>
      <c r="HH169" s="47"/>
      <c r="HI169" s="47"/>
      <c r="HJ169" s="47"/>
      <c r="HK169" s="47"/>
      <c r="HL169" s="47"/>
      <c r="HM169" s="47"/>
      <c r="HN169" s="47"/>
      <c r="HO169" s="47"/>
      <c r="HP169" s="47"/>
      <c r="HQ169" s="47"/>
      <c r="HR169" s="47"/>
      <c r="HS169" s="47"/>
      <c r="HT169" s="47"/>
      <c r="HU169" s="47"/>
      <c r="HV169" s="47"/>
      <c r="HW169" s="47"/>
      <c r="HX169" s="47"/>
      <c r="HY169" s="47"/>
      <c r="HZ169" s="47"/>
      <c r="IA169" s="47"/>
      <c r="IB169" s="47"/>
      <c r="IC169" s="47"/>
      <c r="ID169" s="47"/>
    </row>
    <row r="170" spans="2:238" ht="30" customHeight="1" x14ac:dyDescent="0.2">
      <c r="B170" s="58" t="s">
        <v>172</v>
      </c>
      <c r="C170" s="59" t="s">
        <v>60</v>
      </c>
      <c r="D170" s="50">
        <v>1</v>
      </c>
      <c r="E170" s="60">
        <v>46112</v>
      </c>
      <c r="F170" s="60">
        <f>E170+1</f>
        <v>46113</v>
      </c>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47"/>
      <c r="EJ170" s="47"/>
      <c r="EK170" s="47"/>
      <c r="EL170" s="47"/>
      <c r="EM170" s="47"/>
      <c r="EN170" s="47"/>
      <c r="EO170" s="47"/>
      <c r="EP170" s="47"/>
      <c r="EQ170" s="47"/>
      <c r="ER170" s="47"/>
      <c r="ES170" s="47"/>
      <c r="ET170" s="47"/>
      <c r="EU170" s="47"/>
      <c r="EV170" s="47"/>
      <c r="EW170" s="47"/>
      <c r="EX170" s="47"/>
      <c r="EY170" s="47"/>
      <c r="EZ170" s="47"/>
      <c r="FA170" s="47"/>
      <c r="FB170" s="47"/>
      <c r="FC170" s="47"/>
      <c r="FD170" s="47"/>
      <c r="FE170" s="47"/>
      <c r="FF170" s="47"/>
      <c r="FG170" s="47"/>
      <c r="FH170" s="47"/>
      <c r="FI170" s="47"/>
      <c r="FJ170" s="47"/>
      <c r="FK170" s="47"/>
      <c r="FL170" s="47"/>
      <c r="FM170" s="47"/>
      <c r="FN170" s="47"/>
      <c r="FO170" s="47"/>
      <c r="FP170" s="47"/>
      <c r="FQ170" s="47"/>
      <c r="FR170" s="47"/>
      <c r="FS170" s="47"/>
      <c r="FT170" s="47"/>
      <c r="FU170" s="47"/>
      <c r="FV170" s="47"/>
      <c r="FW170" s="47"/>
      <c r="FX170" s="47"/>
      <c r="FY170" s="47"/>
      <c r="FZ170" s="47"/>
      <c r="GA170" s="47"/>
      <c r="GB170" s="47"/>
      <c r="GC170" s="47"/>
      <c r="GD170" s="47"/>
      <c r="GE170" s="47"/>
      <c r="GF170" s="47"/>
      <c r="GG170" s="47"/>
      <c r="GH170" s="47"/>
      <c r="GI170" s="47"/>
      <c r="GJ170" s="47"/>
      <c r="GK170" s="47"/>
      <c r="GL170" s="47"/>
      <c r="GM170" s="47"/>
      <c r="GN170" s="47"/>
      <c r="GO170" s="47"/>
      <c r="GP170" s="47"/>
      <c r="GQ170" s="47"/>
      <c r="GR170" s="47"/>
      <c r="GS170" s="47"/>
      <c r="GT170" s="47"/>
      <c r="GU170" s="47"/>
      <c r="GV170" s="47"/>
      <c r="GW170" s="47"/>
      <c r="GX170" s="47"/>
      <c r="GY170" s="47"/>
      <c r="GZ170" s="47"/>
      <c r="HA170" s="47"/>
      <c r="HB170" s="47"/>
      <c r="HC170" s="47"/>
      <c r="HD170" s="47"/>
      <c r="HE170" s="47"/>
      <c r="HF170" s="47"/>
      <c r="HG170" s="47"/>
      <c r="HH170" s="47"/>
      <c r="HI170" s="47"/>
      <c r="HJ170" s="47"/>
      <c r="HK170" s="47"/>
      <c r="HL170" s="47"/>
      <c r="HM170" s="47"/>
      <c r="HN170" s="47"/>
      <c r="HO170" s="47"/>
      <c r="HP170" s="47"/>
      <c r="HQ170" s="47"/>
      <c r="HR170" s="47"/>
      <c r="HS170" s="47"/>
      <c r="HT170" s="47"/>
      <c r="HU170" s="47"/>
      <c r="HV170" s="47"/>
      <c r="HW170" s="47"/>
      <c r="HX170" s="47"/>
      <c r="HY170" s="47"/>
      <c r="HZ170" s="47"/>
      <c r="IA170" s="47"/>
      <c r="IB170" s="47"/>
      <c r="IC170" s="47"/>
      <c r="ID170" s="47"/>
    </row>
    <row r="171" spans="2:238" ht="30" customHeight="1" x14ac:dyDescent="0.2">
      <c r="B171" s="58"/>
      <c r="C171" s="59" t="s">
        <v>52</v>
      </c>
      <c r="D171" s="50">
        <v>1</v>
      </c>
      <c r="E171" s="60">
        <v>46064</v>
      </c>
      <c r="F171" s="60">
        <f>E171+7</f>
        <v>46071</v>
      </c>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47"/>
      <c r="EO171" s="47"/>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c r="FL171" s="47"/>
      <c r="FM171" s="47"/>
      <c r="FN171" s="47"/>
      <c r="FO171" s="47"/>
      <c r="FP171" s="47"/>
      <c r="FQ171" s="47"/>
      <c r="FR171" s="47"/>
      <c r="FS171" s="47"/>
      <c r="FT171" s="47"/>
      <c r="FU171" s="47"/>
      <c r="FV171" s="47"/>
      <c r="FW171" s="47"/>
      <c r="FX171" s="47"/>
      <c r="FY171" s="47"/>
      <c r="FZ171" s="47"/>
      <c r="GA171" s="47"/>
      <c r="GB171" s="47"/>
      <c r="GC171" s="47"/>
      <c r="GD171" s="47"/>
      <c r="GE171" s="47"/>
      <c r="GF171" s="47"/>
      <c r="GG171" s="47"/>
      <c r="GH171" s="47"/>
      <c r="GI171" s="47"/>
      <c r="GJ171" s="47"/>
      <c r="GK171" s="47"/>
      <c r="GL171" s="47"/>
      <c r="GM171" s="47"/>
      <c r="GN171" s="47"/>
      <c r="GO171" s="47"/>
      <c r="GP171" s="47"/>
      <c r="GQ171" s="47"/>
      <c r="GR171" s="47"/>
      <c r="GS171" s="47"/>
      <c r="GT171" s="47"/>
      <c r="GU171" s="47"/>
      <c r="GV171" s="47"/>
      <c r="GW171" s="47"/>
      <c r="GX171" s="47"/>
      <c r="GY171" s="47"/>
      <c r="GZ171" s="47"/>
      <c r="HA171" s="47"/>
      <c r="HB171" s="47"/>
      <c r="HC171" s="47"/>
      <c r="HD171" s="47"/>
      <c r="HE171" s="47"/>
      <c r="HF171" s="47"/>
      <c r="HG171" s="47"/>
      <c r="HH171" s="47"/>
      <c r="HI171" s="47"/>
      <c r="HJ171" s="47"/>
      <c r="HK171" s="47"/>
      <c r="HL171" s="47"/>
      <c r="HM171" s="47"/>
      <c r="HN171" s="47"/>
      <c r="HO171" s="47"/>
      <c r="HP171" s="47"/>
      <c r="HQ171" s="47"/>
      <c r="HR171" s="47"/>
      <c r="HS171" s="47"/>
      <c r="HT171" s="47"/>
      <c r="HU171" s="47"/>
      <c r="HV171" s="47"/>
      <c r="HW171" s="47"/>
      <c r="HX171" s="47"/>
      <c r="HY171" s="47"/>
      <c r="HZ171" s="47"/>
      <c r="IA171" s="47"/>
      <c r="IB171" s="47"/>
      <c r="IC171" s="47"/>
      <c r="ID171" s="47"/>
    </row>
    <row r="172" spans="2:238" ht="30" customHeight="1" x14ac:dyDescent="0.2">
      <c r="B172" s="58"/>
      <c r="C172" s="59" t="s">
        <v>52</v>
      </c>
      <c r="D172" s="50">
        <v>1</v>
      </c>
      <c r="E172" s="60">
        <v>46073</v>
      </c>
      <c r="F172" s="60">
        <f>E172+2</f>
        <v>46075</v>
      </c>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47"/>
      <c r="EJ172" s="47"/>
      <c r="EK172" s="47"/>
      <c r="EL172" s="47"/>
      <c r="EM172" s="47"/>
      <c r="EN172" s="47"/>
      <c r="EO172" s="47"/>
      <c r="EP172" s="47"/>
      <c r="EQ172" s="47"/>
      <c r="ER172" s="47"/>
      <c r="ES172" s="47"/>
      <c r="ET172" s="47"/>
      <c r="EU172" s="47"/>
      <c r="EV172" s="47"/>
      <c r="EW172" s="47"/>
      <c r="EX172" s="47"/>
      <c r="EY172" s="47"/>
      <c r="EZ172" s="47"/>
      <c r="FA172" s="47"/>
      <c r="FB172" s="47"/>
      <c r="FC172" s="47"/>
      <c r="FD172" s="47"/>
      <c r="FE172" s="47"/>
      <c r="FF172" s="47"/>
      <c r="FG172" s="47"/>
      <c r="FH172" s="47"/>
      <c r="FI172" s="47"/>
      <c r="FJ172" s="47"/>
      <c r="FK172" s="47"/>
      <c r="FL172" s="47"/>
      <c r="FM172" s="47"/>
      <c r="FN172" s="47"/>
      <c r="FO172" s="47"/>
      <c r="FP172" s="47"/>
      <c r="FQ172" s="47"/>
      <c r="FR172" s="47"/>
      <c r="FS172" s="47"/>
      <c r="FT172" s="47"/>
      <c r="FU172" s="47"/>
      <c r="FV172" s="47"/>
      <c r="FW172" s="47"/>
      <c r="FX172" s="47"/>
      <c r="FY172" s="47"/>
      <c r="FZ172" s="47"/>
      <c r="GA172" s="47"/>
      <c r="GB172" s="47"/>
      <c r="GC172" s="47"/>
      <c r="GD172" s="47"/>
      <c r="GE172" s="47"/>
      <c r="GF172" s="47"/>
      <c r="GG172" s="47"/>
      <c r="GH172" s="47"/>
      <c r="GI172" s="47"/>
      <c r="GJ172" s="47"/>
      <c r="GK172" s="47"/>
      <c r="GL172" s="47"/>
      <c r="GM172" s="47"/>
      <c r="GN172" s="47"/>
      <c r="GO172" s="47"/>
      <c r="GP172" s="47"/>
      <c r="GQ172" s="47"/>
      <c r="GR172" s="47"/>
      <c r="GS172" s="47"/>
      <c r="GT172" s="47"/>
      <c r="GU172" s="47"/>
      <c r="GV172" s="47"/>
      <c r="GW172" s="47"/>
      <c r="GX172" s="47"/>
      <c r="GY172" s="47"/>
      <c r="GZ172" s="47"/>
      <c r="HA172" s="47"/>
      <c r="HB172" s="47"/>
      <c r="HC172" s="47"/>
      <c r="HD172" s="47"/>
      <c r="HE172" s="47"/>
      <c r="HF172" s="47"/>
      <c r="HG172" s="47"/>
      <c r="HH172" s="47"/>
      <c r="HI172" s="47"/>
      <c r="HJ172" s="47"/>
      <c r="HK172" s="47"/>
      <c r="HL172" s="47"/>
      <c r="HM172" s="47"/>
      <c r="HN172" s="47"/>
      <c r="HO172" s="47"/>
      <c r="HP172" s="47"/>
      <c r="HQ172" s="47"/>
      <c r="HR172" s="47"/>
      <c r="HS172" s="47"/>
      <c r="HT172" s="47"/>
      <c r="HU172" s="47"/>
      <c r="HV172" s="47"/>
      <c r="HW172" s="47"/>
      <c r="HX172" s="47"/>
      <c r="HY172" s="47"/>
      <c r="HZ172" s="47"/>
      <c r="IA172" s="47"/>
      <c r="IB172" s="47"/>
      <c r="IC172" s="47"/>
      <c r="ID172" s="47"/>
    </row>
    <row r="173" spans="2:238" ht="30" customHeight="1" x14ac:dyDescent="0.2">
      <c r="B173" s="58"/>
      <c r="C173" s="59" t="s">
        <v>52</v>
      </c>
      <c r="D173" s="50">
        <v>1</v>
      </c>
      <c r="E173" s="60">
        <v>46075</v>
      </c>
      <c r="F173" s="60">
        <f>E173+7</f>
        <v>46082</v>
      </c>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47"/>
      <c r="EO173" s="47"/>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c r="FL173" s="47"/>
      <c r="FM173" s="47"/>
      <c r="FN173" s="47"/>
      <c r="FO173" s="47"/>
      <c r="FP173" s="47"/>
      <c r="FQ173" s="47"/>
      <c r="FR173" s="47"/>
      <c r="FS173" s="47"/>
      <c r="FT173" s="47"/>
      <c r="FU173" s="47"/>
      <c r="FV173" s="47"/>
      <c r="FW173" s="47"/>
      <c r="FX173" s="47"/>
      <c r="FY173" s="47"/>
      <c r="FZ173" s="47"/>
      <c r="GA173" s="47"/>
      <c r="GB173" s="47"/>
      <c r="GC173" s="47"/>
      <c r="GD173" s="47"/>
      <c r="GE173" s="47"/>
      <c r="GF173" s="47"/>
      <c r="GG173" s="47"/>
      <c r="GH173" s="47"/>
      <c r="GI173" s="47"/>
      <c r="GJ173" s="47"/>
      <c r="GK173" s="47"/>
      <c r="GL173" s="47"/>
      <c r="GM173" s="47"/>
      <c r="GN173" s="47"/>
      <c r="GO173" s="47"/>
      <c r="GP173" s="47"/>
      <c r="GQ173" s="47"/>
      <c r="GR173" s="47"/>
      <c r="GS173" s="47"/>
      <c r="GT173" s="47"/>
      <c r="GU173" s="47"/>
      <c r="GV173" s="47"/>
      <c r="GW173" s="47"/>
      <c r="GX173" s="47"/>
      <c r="GY173" s="47"/>
      <c r="GZ173" s="47"/>
      <c r="HA173" s="47"/>
      <c r="HB173" s="47"/>
      <c r="HC173" s="47"/>
      <c r="HD173" s="47"/>
      <c r="HE173" s="47"/>
      <c r="HF173" s="47"/>
      <c r="HG173" s="47"/>
      <c r="HH173" s="47"/>
      <c r="HI173" s="47"/>
      <c r="HJ173" s="47"/>
      <c r="HK173" s="47"/>
      <c r="HL173" s="47"/>
      <c r="HM173" s="47"/>
      <c r="HN173" s="47"/>
      <c r="HO173" s="47"/>
      <c r="HP173" s="47"/>
      <c r="HQ173" s="47"/>
      <c r="HR173" s="47"/>
      <c r="HS173" s="47"/>
      <c r="HT173" s="47"/>
      <c r="HU173" s="47"/>
      <c r="HV173" s="47"/>
      <c r="HW173" s="47"/>
      <c r="HX173" s="47"/>
      <c r="HY173" s="47"/>
      <c r="HZ173" s="47"/>
      <c r="IA173" s="47"/>
      <c r="IB173" s="47"/>
      <c r="IC173" s="47"/>
      <c r="ID173" s="47"/>
    </row>
    <row r="174" spans="2:238" ht="30" customHeight="1" x14ac:dyDescent="0.2">
      <c r="B174" s="58"/>
      <c r="C174" s="59" t="s">
        <v>52</v>
      </c>
      <c r="D174" s="50">
        <v>1</v>
      </c>
      <c r="E174" s="60">
        <v>46084</v>
      </c>
      <c r="F174" s="60">
        <f>E174+2</f>
        <v>46086</v>
      </c>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47"/>
      <c r="EJ174" s="47"/>
      <c r="EK174" s="47"/>
      <c r="EL174" s="47"/>
      <c r="EM174" s="47"/>
      <c r="EN174" s="47"/>
      <c r="EO174" s="47"/>
      <c r="EP174" s="47"/>
      <c r="EQ174" s="47"/>
      <c r="ER174" s="47"/>
      <c r="ES174" s="47"/>
      <c r="ET174" s="47"/>
      <c r="EU174" s="47"/>
      <c r="EV174" s="47"/>
      <c r="EW174" s="47"/>
      <c r="EX174" s="47"/>
      <c r="EY174" s="47"/>
      <c r="EZ174" s="47"/>
      <c r="FA174" s="47"/>
      <c r="FB174" s="47"/>
      <c r="FC174" s="47"/>
      <c r="FD174" s="47"/>
      <c r="FE174" s="47"/>
      <c r="FF174" s="47"/>
      <c r="FG174" s="47"/>
      <c r="FH174" s="47"/>
      <c r="FI174" s="47"/>
      <c r="FJ174" s="47"/>
      <c r="FK174" s="47"/>
      <c r="FL174" s="47"/>
      <c r="FM174" s="47"/>
      <c r="FN174" s="47"/>
      <c r="FO174" s="47"/>
      <c r="FP174" s="47"/>
      <c r="FQ174" s="47"/>
      <c r="FR174" s="47"/>
      <c r="FS174" s="47"/>
      <c r="FT174" s="47"/>
      <c r="FU174" s="47"/>
      <c r="FV174" s="47"/>
      <c r="FW174" s="47"/>
      <c r="FX174" s="47"/>
      <c r="FY174" s="47"/>
      <c r="FZ174" s="47"/>
      <c r="GA174" s="47"/>
      <c r="GB174" s="47"/>
      <c r="GC174" s="47"/>
      <c r="GD174" s="47"/>
      <c r="GE174" s="47"/>
      <c r="GF174" s="47"/>
      <c r="GG174" s="47"/>
      <c r="GH174" s="47"/>
      <c r="GI174" s="47"/>
      <c r="GJ174" s="47"/>
      <c r="GK174" s="47"/>
      <c r="GL174" s="47"/>
      <c r="GM174" s="47"/>
      <c r="GN174" s="47"/>
      <c r="GO174" s="47"/>
      <c r="GP174" s="47"/>
      <c r="GQ174" s="47"/>
      <c r="GR174" s="47"/>
      <c r="GS174" s="47"/>
      <c r="GT174" s="47"/>
      <c r="GU174" s="47"/>
      <c r="GV174" s="47"/>
      <c r="GW174" s="47"/>
      <c r="GX174" s="47"/>
      <c r="GY174" s="47"/>
      <c r="GZ174" s="47"/>
      <c r="HA174" s="47"/>
      <c r="HB174" s="47"/>
      <c r="HC174" s="47"/>
      <c r="HD174" s="47"/>
      <c r="HE174" s="47"/>
      <c r="HF174" s="47"/>
      <c r="HG174" s="47"/>
      <c r="HH174" s="47"/>
      <c r="HI174" s="47"/>
      <c r="HJ174" s="47"/>
      <c r="HK174" s="47"/>
      <c r="HL174" s="47"/>
      <c r="HM174" s="47"/>
      <c r="HN174" s="47"/>
      <c r="HO174" s="47"/>
      <c r="HP174" s="47"/>
      <c r="HQ174" s="47"/>
      <c r="HR174" s="47"/>
      <c r="HS174" s="47"/>
      <c r="HT174" s="47"/>
      <c r="HU174" s="47"/>
      <c r="HV174" s="47"/>
      <c r="HW174" s="47"/>
      <c r="HX174" s="47"/>
      <c r="HY174" s="47"/>
      <c r="HZ174" s="47"/>
      <c r="IA174" s="47"/>
      <c r="IB174" s="47"/>
      <c r="IC174" s="47"/>
      <c r="ID174" s="47"/>
    </row>
    <row r="175" spans="2:238" ht="30" customHeight="1" x14ac:dyDescent="0.2">
      <c r="B175" s="58"/>
      <c r="C175" s="59" t="s">
        <v>52</v>
      </c>
      <c r="D175" s="50">
        <v>1</v>
      </c>
      <c r="E175" s="60">
        <v>46088</v>
      </c>
      <c r="F175" s="60">
        <f>E175+7</f>
        <v>46095</v>
      </c>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47"/>
      <c r="EO175" s="47"/>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c r="FL175" s="47"/>
      <c r="FM175" s="47"/>
      <c r="FN175" s="47"/>
      <c r="FO175" s="47"/>
      <c r="FP175" s="47"/>
      <c r="FQ175" s="47"/>
      <c r="FR175" s="47"/>
      <c r="FS175" s="47"/>
      <c r="FT175" s="47"/>
      <c r="FU175" s="47"/>
      <c r="FV175" s="47"/>
      <c r="FW175" s="47"/>
      <c r="FX175" s="47"/>
      <c r="FY175" s="47"/>
      <c r="FZ175" s="47"/>
      <c r="GA175" s="47"/>
      <c r="GB175" s="47"/>
      <c r="GC175" s="47"/>
      <c r="GD175" s="47"/>
      <c r="GE175" s="47"/>
      <c r="GF175" s="47"/>
      <c r="GG175" s="47"/>
      <c r="GH175" s="47"/>
      <c r="GI175" s="47"/>
      <c r="GJ175" s="47"/>
      <c r="GK175" s="47"/>
      <c r="GL175" s="47"/>
      <c r="GM175" s="47"/>
      <c r="GN175" s="47"/>
      <c r="GO175" s="47"/>
      <c r="GP175" s="47"/>
      <c r="GQ175" s="47"/>
      <c r="GR175" s="47"/>
      <c r="GS175" s="47"/>
      <c r="GT175" s="47"/>
      <c r="GU175" s="47"/>
      <c r="GV175" s="47"/>
      <c r="GW175" s="47"/>
      <c r="GX175" s="47"/>
      <c r="GY175" s="47"/>
      <c r="GZ175" s="47"/>
      <c r="HA175" s="47"/>
      <c r="HB175" s="47"/>
      <c r="HC175" s="47"/>
      <c r="HD175" s="47"/>
      <c r="HE175" s="47"/>
      <c r="HF175" s="47"/>
      <c r="HG175" s="47"/>
      <c r="HH175" s="47"/>
      <c r="HI175" s="47"/>
      <c r="HJ175" s="47"/>
      <c r="HK175" s="47"/>
      <c r="HL175" s="47"/>
      <c r="HM175" s="47"/>
      <c r="HN175" s="47"/>
      <c r="HO175" s="47"/>
      <c r="HP175" s="47"/>
      <c r="HQ175" s="47"/>
      <c r="HR175" s="47"/>
      <c r="HS175" s="47"/>
      <c r="HT175" s="47"/>
      <c r="HU175" s="47"/>
      <c r="HV175" s="47"/>
      <c r="HW175" s="47"/>
      <c r="HX175" s="47"/>
      <c r="HY175" s="47"/>
      <c r="HZ175" s="47"/>
      <c r="IA175" s="47"/>
      <c r="IB175" s="47"/>
      <c r="IC175" s="47"/>
      <c r="ID175" s="47"/>
    </row>
    <row r="176" spans="2:238" ht="30" customHeight="1" x14ac:dyDescent="0.2">
      <c r="B176" s="58"/>
      <c r="C176" s="59" t="s">
        <v>52</v>
      </c>
      <c r="D176" s="50">
        <v>1</v>
      </c>
      <c r="E176" s="60">
        <v>46097</v>
      </c>
      <c r="F176" s="60">
        <f>E176+2</f>
        <v>46099</v>
      </c>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47"/>
      <c r="EJ176" s="47"/>
      <c r="EK176" s="47"/>
      <c r="EL176" s="47"/>
      <c r="EM176" s="47"/>
      <c r="EN176" s="47"/>
      <c r="EO176" s="47"/>
      <c r="EP176" s="47"/>
      <c r="EQ176" s="47"/>
      <c r="ER176" s="47"/>
      <c r="ES176" s="47"/>
      <c r="ET176" s="47"/>
      <c r="EU176" s="47"/>
      <c r="EV176" s="47"/>
      <c r="EW176" s="47"/>
      <c r="EX176" s="47"/>
      <c r="EY176" s="47"/>
      <c r="EZ176" s="47"/>
      <c r="FA176" s="47"/>
      <c r="FB176" s="47"/>
      <c r="FC176" s="47"/>
      <c r="FD176" s="47"/>
      <c r="FE176" s="47"/>
      <c r="FF176" s="47"/>
      <c r="FG176" s="47"/>
      <c r="FH176" s="47"/>
      <c r="FI176" s="47"/>
      <c r="FJ176" s="47"/>
      <c r="FK176" s="47"/>
      <c r="FL176" s="47"/>
      <c r="FM176" s="47"/>
      <c r="FN176" s="47"/>
      <c r="FO176" s="47"/>
      <c r="FP176" s="47"/>
      <c r="FQ176" s="47"/>
      <c r="FR176" s="47"/>
      <c r="FS176" s="47"/>
      <c r="FT176" s="47"/>
      <c r="FU176" s="47"/>
      <c r="FV176" s="47"/>
      <c r="FW176" s="47"/>
      <c r="FX176" s="47"/>
      <c r="FY176" s="47"/>
      <c r="FZ176" s="47"/>
      <c r="GA176" s="47"/>
      <c r="GB176" s="47"/>
      <c r="GC176" s="47"/>
      <c r="GD176" s="47"/>
      <c r="GE176" s="47"/>
      <c r="GF176" s="47"/>
      <c r="GG176" s="47"/>
      <c r="GH176" s="47"/>
      <c r="GI176" s="47"/>
      <c r="GJ176" s="47"/>
      <c r="GK176" s="47"/>
      <c r="GL176" s="47"/>
      <c r="GM176" s="47"/>
      <c r="GN176" s="47"/>
      <c r="GO176" s="47"/>
      <c r="GP176" s="47"/>
      <c r="GQ176" s="47"/>
      <c r="GR176" s="47"/>
      <c r="GS176" s="47"/>
      <c r="GT176" s="47"/>
      <c r="GU176" s="47"/>
      <c r="GV176" s="47"/>
      <c r="GW176" s="47"/>
      <c r="GX176" s="47"/>
      <c r="GY176" s="47"/>
      <c r="GZ176" s="47"/>
      <c r="HA176" s="47"/>
      <c r="HB176" s="47"/>
      <c r="HC176" s="47"/>
      <c r="HD176" s="47"/>
      <c r="HE176" s="47"/>
      <c r="HF176" s="47"/>
      <c r="HG176" s="47"/>
      <c r="HH176" s="47"/>
      <c r="HI176" s="47"/>
      <c r="HJ176" s="47"/>
      <c r="HK176" s="47"/>
      <c r="HL176" s="47"/>
      <c r="HM176" s="47"/>
      <c r="HN176" s="47"/>
      <c r="HO176" s="47"/>
      <c r="HP176" s="47"/>
      <c r="HQ176" s="47"/>
      <c r="HR176" s="47"/>
      <c r="HS176" s="47"/>
      <c r="HT176" s="47"/>
      <c r="HU176" s="47"/>
      <c r="HV176" s="47"/>
      <c r="HW176" s="47"/>
      <c r="HX176" s="47"/>
      <c r="HY176" s="47"/>
      <c r="HZ176" s="47"/>
      <c r="IA176" s="47"/>
      <c r="IB176" s="47"/>
      <c r="IC176" s="47"/>
      <c r="ID176" s="47"/>
    </row>
    <row r="177" spans="2:238" ht="30" customHeight="1" x14ac:dyDescent="0.2">
      <c r="B177" s="58"/>
      <c r="C177" s="59" t="s">
        <v>52</v>
      </c>
      <c r="D177" s="50">
        <v>1</v>
      </c>
      <c r="E177" s="60">
        <v>46101</v>
      </c>
      <c r="F177" s="60">
        <f>E177+7</f>
        <v>46108</v>
      </c>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47"/>
      <c r="EO177" s="47"/>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c r="FL177" s="47"/>
      <c r="FM177" s="47"/>
      <c r="FN177" s="47"/>
      <c r="FO177" s="47"/>
      <c r="FP177" s="47"/>
      <c r="FQ177" s="47"/>
      <c r="FR177" s="47"/>
      <c r="FS177" s="47"/>
      <c r="FT177" s="47"/>
      <c r="FU177" s="47"/>
      <c r="FV177" s="47"/>
      <c r="FW177" s="47"/>
      <c r="FX177" s="47"/>
      <c r="FY177" s="47"/>
      <c r="FZ177" s="47"/>
      <c r="GA177" s="47"/>
      <c r="GB177" s="47"/>
      <c r="GC177" s="47"/>
      <c r="GD177" s="47"/>
      <c r="GE177" s="47"/>
      <c r="GF177" s="47"/>
      <c r="GG177" s="47"/>
      <c r="GH177" s="47"/>
      <c r="GI177" s="47"/>
      <c r="GJ177" s="47"/>
      <c r="GK177" s="47"/>
      <c r="GL177" s="47"/>
      <c r="GM177" s="47"/>
      <c r="GN177" s="47"/>
      <c r="GO177" s="47"/>
      <c r="GP177" s="47"/>
      <c r="GQ177" s="47"/>
      <c r="GR177" s="47"/>
      <c r="GS177" s="47"/>
      <c r="GT177" s="47"/>
      <c r="GU177" s="47"/>
      <c r="GV177" s="47"/>
      <c r="GW177" s="47"/>
      <c r="GX177" s="47"/>
      <c r="GY177" s="47"/>
      <c r="GZ177" s="47"/>
      <c r="HA177" s="47"/>
      <c r="HB177" s="47"/>
      <c r="HC177" s="47"/>
      <c r="HD177" s="47"/>
      <c r="HE177" s="47"/>
      <c r="HF177" s="47"/>
      <c r="HG177" s="47"/>
      <c r="HH177" s="47"/>
      <c r="HI177" s="47"/>
      <c r="HJ177" s="47"/>
      <c r="HK177" s="47"/>
      <c r="HL177" s="47"/>
      <c r="HM177" s="47"/>
      <c r="HN177" s="47"/>
      <c r="HO177" s="47"/>
      <c r="HP177" s="47"/>
      <c r="HQ177" s="47"/>
      <c r="HR177" s="47"/>
      <c r="HS177" s="47"/>
      <c r="HT177" s="47"/>
      <c r="HU177" s="47"/>
      <c r="HV177" s="47"/>
      <c r="HW177" s="47"/>
      <c r="HX177" s="47"/>
      <c r="HY177" s="47"/>
      <c r="HZ177" s="47"/>
      <c r="IA177" s="47"/>
      <c r="IB177" s="47"/>
      <c r="IC177" s="47"/>
      <c r="ID177" s="47"/>
    </row>
    <row r="178" spans="2:238" ht="30" customHeight="1" x14ac:dyDescent="0.2">
      <c r="B178" s="58"/>
      <c r="C178" s="59" t="s">
        <v>52</v>
      </c>
      <c r="D178" s="50">
        <v>1</v>
      </c>
      <c r="E178" s="60">
        <v>46108</v>
      </c>
      <c r="F178" s="60">
        <f>E178+2</f>
        <v>46110</v>
      </c>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47"/>
      <c r="EJ178" s="47"/>
      <c r="EK178" s="47"/>
      <c r="EL178" s="47"/>
      <c r="EM178" s="47"/>
      <c r="EN178" s="47"/>
      <c r="EO178" s="47"/>
      <c r="EP178" s="47"/>
      <c r="EQ178" s="47"/>
      <c r="ER178" s="47"/>
      <c r="ES178" s="47"/>
      <c r="ET178" s="47"/>
      <c r="EU178" s="47"/>
      <c r="EV178" s="47"/>
      <c r="EW178" s="47"/>
      <c r="EX178" s="47"/>
      <c r="EY178" s="47"/>
      <c r="EZ178" s="47"/>
      <c r="FA178" s="47"/>
      <c r="FB178" s="47"/>
      <c r="FC178" s="47"/>
      <c r="FD178" s="47"/>
      <c r="FE178" s="47"/>
      <c r="FF178" s="47"/>
      <c r="FG178" s="47"/>
      <c r="FH178" s="47"/>
      <c r="FI178" s="47"/>
      <c r="FJ178" s="47"/>
      <c r="FK178" s="47"/>
      <c r="FL178" s="47"/>
      <c r="FM178" s="47"/>
      <c r="FN178" s="47"/>
      <c r="FO178" s="47"/>
      <c r="FP178" s="47"/>
      <c r="FQ178" s="47"/>
      <c r="FR178" s="47"/>
      <c r="FS178" s="47"/>
      <c r="FT178" s="47"/>
      <c r="FU178" s="47"/>
      <c r="FV178" s="47"/>
      <c r="FW178" s="47"/>
      <c r="FX178" s="47"/>
      <c r="FY178" s="47"/>
      <c r="FZ178" s="47"/>
      <c r="GA178" s="47"/>
      <c r="GB178" s="47"/>
      <c r="GC178" s="47"/>
      <c r="GD178" s="47"/>
      <c r="GE178" s="47"/>
      <c r="GF178" s="47"/>
      <c r="GG178" s="47"/>
      <c r="GH178" s="47"/>
      <c r="GI178" s="47"/>
      <c r="GJ178" s="47"/>
      <c r="GK178" s="47"/>
      <c r="GL178" s="47"/>
      <c r="GM178" s="47"/>
      <c r="GN178" s="47"/>
      <c r="GO178" s="47"/>
      <c r="GP178" s="47"/>
      <c r="GQ178" s="47"/>
      <c r="GR178" s="47"/>
      <c r="GS178" s="47"/>
      <c r="GT178" s="47"/>
      <c r="GU178" s="47"/>
      <c r="GV178" s="47"/>
      <c r="GW178" s="47"/>
      <c r="GX178" s="47"/>
      <c r="GY178" s="47"/>
      <c r="GZ178" s="47"/>
      <c r="HA178" s="47"/>
      <c r="HB178" s="47"/>
      <c r="HC178" s="47"/>
      <c r="HD178" s="47"/>
      <c r="HE178" s="47"/>
      <c r="HF178" s="47"/>
      <c r="HG178" s="47"/>
      <c r="HH178" s="47"/>
      <c r="HI178" s="47"/>
      <c r="HJ178" s="47"/>
      <c r="HK178" s="47"/>
      <c r="HL178" s="47"/>
      <c r="HM178" s="47"/>
      <c r="HN178" s="47"/>
      <c r="HO178" s="47"/>
      <c r="HP178" s="47"/>
      <c r="HQ178" s="47"/>
      <c r="HR178" s="47"/>
      <c r="HS178" s="47"/>
      <c r="HT178" s="47"/>
      <c r="HU178" s="47"/>
      <c r="HV178" s="47"/>
      <c r="HW178" s="47"/>
      <c r="HX178" s="47"/>
      <c r="HY178" s="47"/>
      <c r="HZ178" s="47"/>
      <c r="IA178" s="47"/>
      <c r="IB178" s="47"/>
      <c r="IC178" s="47"/>
      <c r="ID178" s="47"/>
    </row>
    <row r="179" spans="2:238" ht="30" customHeight="1" x14ac:dyDescent="0.2">
      <c r="B179" s="58"/>
      <c r="C179" s="59" t="s">
        <v>52</v>
      </c>
      <c r="D179" s="50">
        <v>1</v>
      </c>
      <c r="E179" s="60">
        <v>46110</v>
      </c>
      <c r="F179" s="60">
        <f>E179+3</f>
        <v>46113</v>
      </c>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47"/>
      <c r="EJ179" s="47"/>
      <c r="EK179" s="47"/>
      <c r="EL179" s="47"/>
      <c r="EM179" s="47"/>
      <c r="EN179" s="47"/>
      <c r="EO179" s="47"/>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c r="FL179" s="47"/>
      <c r="FM179" s="47"/>
      <c r="FN179" s="47"/>
      <c r="FO179" s="47"/>
      <c r="FP179" s="47"/>
      <c r="FQ179" s="47"/>
      <c r="FR179" s="47"/>
      <c r="FS179" s="47"/>
      <c r="FT179" s="47"/>
      <c r="FU179" s="47"/>
      <c r="FV179" s="47"/>
      <c r="FW179" s="47"/>
      <c r="FX179" s="47"/>
      <c r="FY179" s="47"/>
      <c r="FZ179" s="47"/>
      <c r="GA179" s="47"/>
      <c r="GB179" s="47"/>
      <c r="GC179" s="47"/>
      <c r="GD179" s="47"/>
      <c r="GE179" s="47"/>
      <c r="GF179" s="47"/>
      <c r="GG179" s="47"/>
      <c r="GH179" s="47"/>
      <c r="GI179" s="47"/>
      <c r="GJ179" s="47"/>
      <c r="GK179" s="47"/>
      <c r="GL179" s="47"/>
      <c r="GM179" s="47"/>
      <c r="GN179" s="47"/>
      <c r="GO179" s="47"/>
      <c r="GP179" s="47"/>
      <c r="GQ179" s="47"/>
      <c r="GR179" s="47"/>
      <c r="GS179" s="47"/>
      <c r="GT179" s="47"/>
      <c r="GU179" s="47"/>
      <c r="GV179" s="47"/>
      <c r="GW179" s="47"/>
      <c r="GX179" s="47"/>
      <c r="GY179" s="47"/>
      <c r="GZ179" s="47"/>
      <c r="HA179" s="47"/>
      <c r="HB179" s="47"/>
      <c r="HC179" s="47"/>
      <c r="HD179" s="47"/>
      <c r="HE179" s="47"/>
      <c r="HF179" s="47"/>
      <c r="HG179" s="47"/>
      <c r="HH179" s="47"/>
      <c r="HI179" s="47"/>
      <c r="HJ179" s="47"/>
      <c r="HK179" s="47"/>
      <c r="HL179" s="47"/>
      <c r="HM179" s="47"/>
      <c r="HN179" s="47"/>
      <c r="HO179" s="47"/>
      <c r="HP179" s="47"/>
      <c r="HQ179" s="47"/>
      <c r="HR179" s="47"/>
      <c r="HS179" s="47"/>
      <c r="HT179" s="47"/>
      <c r="HU179" s="47"/>
      <c r="HV179" s="47"/>
      <c r="HW179" s="47"/>
      <c r="HX179" s="47"/>
      <c r="HY179" s="47"/>
      <c r="HZ179" s="47"/>
      <c r="IA179" s="47"/>
      <c r="IB179" s="47"/>
      <c r="IC179" s="47"/>
      <c r="ID179" s="47"/>
    </row>
    <row r="180" spans="2:238" ht="30" customHeight="1" x14ac:dyDescent="0.2">
      <c r="B180" s="61" t="s">
        <v>173</v>
      </c>
      <c r="C180" s="62"/>
      <c r="D180" s="63"/>
      <c r="E180" s="64"/>
      <c r="F180" s="65"/>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47"/>
      <c r="EJ180" s="47"/>
      <c r="EK180" s="47"/>
      <c r="EL180" s="47"/>
      <c r="EM180" s="47"/>
      <c r="EN180" s="47"/>
      <c r="EO180" s="47"/>
      <c r="EP180" s="47"/>
      <c r="EQ180" s="47"/>
      <c r="ER180" s="47"/>
      <c r="ES180" s="47"/>
      <c r="ET180" s="47"/>
      <c r="EU180" s="47"/>
      <c r="EV180" s="47"/>
      <c r="EW180" s="47"/>
      <c r="EX180" s="47"/>
      <c r="EY180" s="47"/>
      <c r="EZ180" s="47"/>
      <c r="FA180" s="47"/>
      <c r="FB180" s="47"/>
      <c r="FC180" s="47"/>
      <c r="FD180" s="47"/>
      <c r="FE180" s="47"/>
      <c r="FF180" s="47"/>
      <c r="FG180" s="47"/>
      <c r="FH180" s="47"/>
      <c r="FI180" s="47"/>
      <c r="FJ180" s="47"/>
      <c r="FK180" s="47"/>
      <c r="FL180" s="47"/>
      <c r="FM180" s="47"/>
      <c r="FN180" s="47"/>
      <c r="FO180" s="47"/>
      <c r="FP180" s="47"/>
      <c r="FQ180" s="47"/>
      <c r="FR180" s="47"/>
      <c r="FS180" s="47"/>
      <c r="FT180" s="47"/>
      <c r="FU180" s="47"/>
      <c r="FV180" s="47"/>
      <c r="FW180" s="47"/>
      <c r="FX180" s="47"/>
      <c r="FY180" s="47"/>
      <c r="FZ180" s="47"/>
      <c r="GA180" s="47"/>
      <c r="GB180" s="47"/>
      <c r="GC180" s="47"/>
      <c r="GD180" s="47"/>
      <c r="GE180" s="47"/>
      <c r="GF180" s="47"/>
      <c r="GG180" s="47"/>
      <c r="GH180" s="47"/>
      <c r="GI180" s="47"/>
      <c r="GJ180" s="47"/>
      <c r="GK180" s="47"/>
      <c r="GL180" s="47"/>
      <c r="GM180" s="47"/>
      <c r="GN180" s="47"/>
      <c r="GO180" s="47"/>
      <c r="GP180" s="47"/>
      <c r="GQ180" s="47"/>
      <c r="GR180" s="47"/>
      <c r="GS180" s="47"/>
      <c r="GT180" s="47"/>
      <c r="GU180" s="47"/>
      <c r="GV180" s="47"/>
      <c r="GW180" s="47"/>
      <c r="GX180" s="47"/>
      <c r="GY180" s="47"/>
      <c r="GZ180" s="47"/>
      <c r="HA180" s="47"/>
      <c r="HB180" s="47"/>
      <c r="HC180" s="47"/>
      <c r="HD180" s="47"/>
      <c r="HE180" s="47"/>
      <c r="HF180" s="47"/>
      <c r="HG180" s="47"/>
      <c r="HH180" s="47"/>
      <c r="HI180" s="47"/>
      <c r="HJ180" s="47"/>
      <c r="HK180" s="47"/>
      <c r="HL180" s="47"/>
      <c r="HM180" s="47"/>
      <c r="HN180" s="47"/>
      <c r="HO180" s="47"/>
      <c r="HP180" s="47"/>
      <c r="HQ180" s="47"/>
      <c r="HR180" s="47"/>
      <c r="HS180" s="47"/>
      <c r="HT180" s="47"/>
      <c r="HU180" s="47"/>
      <c r="HV180" s="47"/>
      <c r="HW180" s="47"/>
      <c r="HX180" s="47"/>
      <c r="HY180" s="47"/>
      <c r="HZ180" s="47"/>
      <c r="IA180" s="47"/>
      <c r="IB180" s="47"/>
      <c r="IC180" s="47"/>
      <c r="ID180" s="47"/>
    </row>
    <row r="181" spans="2:238" ht="30" customHeight="1" x14ac:dyDescent="0.2">
      <c r="B181" s="67" t="s">
        <v>66</v>
      </c>
      <c r="C181" s="68" t="s">
        <v>57</v>
      </c>
      <c r="D181" s="50">
        <v>1</v>
      </c>
      <c r="E181" s="69">
        <v>46109</v>
      </c>
      <c r="F181" s="69">
        <f t="shared" ref="F181:F186" si="19">E181+1</f>
        <v>46110</v>
      </c>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47"/>
      <c r="EK181" s="47"/>
      <c r="EL181" s="47"/>
      <c r="EM181" s="47"/>
      <c r="EN181" s="47"/>
      <c r="EO181" s="47"/>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c r="FL181" s="47"/>
      <c r="FM181" s="47"/>
      <c r="FN181" s="47"/>
      <c r="FO181" s="47"/>
      <c r="FP181" s="47"/>
      <c r="FQ181" s="47"/>
      <c r="FR181" s="47"/>
      <c r="FS181" s="47"/>
      <c r="FT181" s="47"/>
      <c r="FU181" s="47"/>
      <c r="FV181" s="47"/>
      <c r="FW181" s="47"/>
      <c r="FX181" s="47"/>
      <c r="FY181" s="47"/>
      <c r="FZ181" s="47"/>
      <c r="GA181" s="47"/>
      <c r="GB181" s="47"/>
      <c r="GC181" s="47"/>
      <c r="GD181" s="47"/>
      <c r="GE181" s="47"/>
      <c r="GF181" s="47"/>
      <c r="GG181" s="47"/>
      <c r="GH181" s="47"/>
      <c r="GI181" s="47"/>
      <c r="GJ181" s="47"/>
      <c r="GK181" s="47"/>
      <c r="GL181" s="47"/>
      <c r="GM181" s="47"/>
      <c r="GN181" s="47"/>
      <c r="GO181" s="47"/>
      <c r="GP181" s="47"/>
      <c r="GQ181" s="47"/>
      <c r="GR181" s="47"/>
      <c r="GS181" s="47"/>
      <c r="GT181" s="47"/>
      <c r="GU181" s="47"/>
      <c r="GV181" s="47"/>
      <c r="GW181" s="47"/>
      <c r="GX181" s="47"/>
      <c r="GY181" s="47"/>
      <c r="GZ181" s="47"/>
      <c r="HA181" s="47"/>
      <c r="HB181" s="47"/>
      <c r="HC181" s="47"/>
      <c r="HD181" s="47"/>
      <c r="HE181" s="47"/>
      <c r="HF181" s="47"/>
      <c r="HG181" s="47"/>
      <c r="HH181" s="47"/>
      <c r="HI181" s="47"/>
      <c r="HJ181" s="47"/>
      <c r="HK181" s="47"/>
      <c r="HL181" s="47"/>
      <c r="HM181" s="47"/>
      <c r="HN181" s="47"/>
      <c r="HO181" s="47"/>
      <c r="HP181" s="47"/>
      <c r="HQ181" s="47"/>
      <c r="HR181" s="47"/>
      <c r="HS181" s="47"/>
      <c r="HT181" s="47"/>
      <c r="HU181" s="47"/>
      <c r="HV181" s="47"/>
      <c r="HW181" s="47"/>
      <c r="HX181" s="47"/>
      <c r="HY181" s="47"/>
      <c r="HZ181" s="47"/>
      <c r="IA181" s="47"/>
      <c r="IB181" s="47"/>
      <c r="IC181" s="47"/>
      <c r="ID181" s="47"/>
    </row>
    <row r="182" spans="2:238" ht="30" customHeight="1" x14ac:dyDescent="0.2">
      <c r="B182" s="67" t="s">
        <v>65</v>
      </c>
      <c r="C182" s="68" t="s">
        <v>57</v>
      </c>
      <c r="D182" s="50">
        <v>1</v>
      </c>
      <c r="E182" s="69">
        <f>F181</f>
        <v>46110</v>
      </c>
      <c r="F182" s="69">
        <f t="shared" si="19"/>
        <v>46111</v>
      </c>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47"/>
      <c r="EJ182" s="47"/>
      <c r="EK182" s="47"/>
      <c r="EL182" s="47"/>
      <c r="EM182" s="47"/>
      <c r="EN182" s="47"/>
      <c r="EO182" s="47"/>
      <c r="EP182" s="47"/>
      <c r="EQ182" s="47"/>
      <c r="ER182" s="47"/>
      <c r="ES182" s="47"/>
      <c r="ET182" s="47"/>
      <c r="EU182" s="47"/>
      <c r="EV182" s="47"/>
      <c r="EW182" s="47"/>
      <c r="EX182" s="47"/>
      <c r="EY182" s="47"/>
      <c r="EZ182" s="47"/>
      <c r="FA182" s="47"/>
      <c r="FB182" s="47"/>
      <c r="FC182" s="47"/>
      <c r="FD182" s="47"/>
      <c r="FE182" s="47"/>
      <c r="FF182" s="47"/>
      <c r="FG182" s="47"/>
      <c r="FH182" s="47"/>
      <c r="FI182" s="47"/>
      <c r="FJ182" s="47"/>
      <c r="FK182" s="47"/>
      <c r="FL182" s="47"/>
      <c r="FM182" s="47"/>
      <c r="FN182" s="47"/>
      <c r="FO182" s="47"/>
      <c r="FP182" s="47"/>
      <c r="FQ182" s="47"/>
      <c r="FR182" s="47"/>
      <c r="FS182" s="47"/>
      <c r="FT182" s="47"/>
      <c r="FU182" s="47"/>
      <c r="FV182" s="47"/>
      <c r="FW182" s="47"/>
      <c r="FX182" s="47"/>
      <c r="FY182" s="47"/>
      <c r="FZ182" s="47"/>
      <c r="GA182" s="47"/>
      <c r="GB182" s="47"/>
      <c r="GC182" s="47"/>
      <c r="GD182" s="47"/>
      <c r="GE182" s="47"/>
      <c r="GF182" s="47"/>
      <c r="GG182" s="47"/>
      <c r="GH182" s="47"/>
      <c r="GI182" s="47"/>
      <c r="GJ182" s="47"/>
      <c r="GK182" s="47"/>
      <c r="GL182" s="47"/>
      <c r="GM182" s="47"/>
      <c r="GN182" s="47"/>
      <c r="GO182" s="47"/>
      <c r="GP182" s="47"/>
      <c r="GQ182" s="47"/>
      <c r="GR182" s="47"/>
      <c r="GS182" s="47"/>
      <c r="GT182" s="47"/>
      <c r="GU182" s="47"/>
      <c r="GV182" s="47"/>
      <c r="GW182" s="47"/>
      <c r="GX182" s="47"/>
      <c r="GY182" s="47"/>
      <c r="GZ182" s="47"/>
      <c r="HA182" s="47"/>
      <c r="HB182" s="47"/>
      <c r="HC182" s="47"/>
      <c r="HD182" s="47"/>
      <c r="HE182" s="47"/>
      <c r="HF182" s="47"/>
      <c r="HG182" s="47"/>
      <c r="HH182" s="47"/>
      <c r="HI182" s="47"/>
      <c r="HJ182" s="47"/>
      <c r="HK182" s="47"/>
      <c r="HL182" s="47"/>
      <c r="HM182" s="47"/>
      <c r="HN182" s="47"/>
      <c r="HO182" s="47"/>
      <c r="HP182" s="47"/>
      <c r="HQ182" s="47"/>
      <c r="HR182" s="47"/>
      <c r="HS182" s="47"/>
      <c r="HT182" s="47"/>
      <c r="HU182" s="47"/>
      <c r="HV182" s="47"/>
      <c r="HW182" s="47"/>
      <c r="HX182" s="47"/>
      <c r="HY182" s="47"/>
      <c r="HZ182" s="47"/>
      <c r="IA182" s="47"/>
      <c r="IB182" s="47"/>
      <c r="IC182" s="47"/>
      <c r="ID182" s="47"/>
    </row>
    <row r="183" spans="2:238" ht="30" customHeight="1" x14ac:dyDescent="0.2">
      <c r="B183" s="67" t="s">
        <v>169</v>
      </c>
      <c r="C183" s="68" t="s">
        <v>60</v>
      </c>
      <c r="D183" s="50">
        <v>1</v>
      </c>
      <c r="E183" s="69">
        <f>F182</f>
        <v>46111</v>
      </c>
      <c r="F183" s="69">
        <f t="shared" si="19"/>
        <v>46112</v>
      </c>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47"/>
      <c r="EO183" s="47"/>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c r="FL183" s="47"/>
      <c r="FM183" s="47"/>
      <c r="FN183" s="47"/>
      <c r="FO183" s="47"/>
      <c r="FP183" s="47"/>
      <c r="FQ183" s="47"/>
      <c r="FR183" s="47"/>
      <c r="FS183" s="47"/>
      <c r="FT183" s="47"/>
      <c r="FU183" s="47"/>
      <c r="FV183" s="47"/>
      <c r="FW183" s="47"/>
      <c r="FX183" s="47"/>
      <c r="FY183" s="47"/>
      <c r="FZ183" s="47"/>
      <c r="GA183" s="47"/>
      <c r="GB183" s="47"/>
      <c r="GC183" s="47"/>
      <c r="GD183" s="47"/>
      <c r="GE183" s="47"/>
      <c r="GF183" s="47"/>
      <c r="GG183" s="47"/>
      <c r="GH183" s="47"/>
      <c r="GI183" s="47"/>
      <c r="GJ183" s="47"/>
      <c r="GK183" s="47"/>
      <c r="GL183" s="47"/>
      <c r="GM183" s="47"/>
      <c r="GN183" s="47"/>
      <c r="GO183" s="47"/>
      <c r="GP183" s="47"/>
      <c r="GQ183" s="47"/>
      <c r="GR183" s="47"/>
      <c r="GS183" s="47"/>
      <c r="GT183" s="47"/>
      <c r="GU183" s="47"/>
      <c r="GV183" s="47"/>
      <c r="GW183" s="47"/>
      <c r="GX183" s="47"/>
      <c r="GY183" s="47"/>
      <c r="GZ183" s="47"/>
      <c r="HA183" s="47"/>
      <c r="HB183" s="47"/>
      <c r="HC183" s="47"/>
      <c r="HD183" s="47"/>
      <c r="HE183" s="47"/>
      <c r="HF183" s="47"/>
      <c r="HG183" s="47"/>
      <c r="HH183" s="47"/>
      <c r="HI183" s="47"/>
      <c r="HJ183" s="47"/>
      <c r="HK183" s="47"/>
      <c r="HL183" s="47"/>
      <c r="HM183" s="47"/>
      <c r="HN183" s="47"/>
      <c r="HO183" s="47"/>
      <c r="HP183" s="47"/>
      <c r="HQ183" s="47"/>
      <c r="HR183" s="47"/>
      <c r="HS183" s="47"/>
      <c r="HT183" s="47"/>
      <c r="HU183" s="47"/>
      <c r="HV183" s="47"/>
      <c r="HW183" s="47"/>
      <c r="HX183" s="47"/>
      <c r="HY183" s="47"/>
      <c r="HZ183" s="47"/>
      <c r="IA183" s="47"/>
      <c r="IB183" s="47"/>
      <c r="IC183" s="47"/>
      <c r="ID183" s="47"/>
    </row>
    <row r="184" spans="2:238" ht="30" customHeight="1" x14ac:dyDescent="0.2">
      <c r="B184" s="67" t="s">
        <v>168</v>
      </c>
      <c r="C184" s="68" t="s">
        <v>52</v>
      </c>
      <c r="D184" s="50">
        <v>1</v>
      </c>
      <c r="E184" s="69">
        <f>F182</f>
        <v>46111</v>
      </c>
      <c r="F184" s="69">
        <f t="shared" si="19"/>
        <v>46112</v>
      </c>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47"/>
      <c r="EJ184" s="47"/>
      <c r="EK184" s="47"/>
      <c r="EL184" s="47"/>
      <c r="EM184" s="47"/>
      <c r="EN184" s="47"/>
      <c r="EO184" s="47"/>
      <c r="EP184" s="47"/>
      <c r="EQ184" s="47"/>
      <c r="ER184" s="47"/>
      <c r="ES184" s="47"/>
      <c r="ET184" s="47"/>
      <c r="EU184" s="47"/>
      <c r="EV184" s="47"/>
      <c r="EW184" s="47"/>
      <c r="EX184" s="47"/>
      <c r="EY184" s="47"/>
      <c r="EZ184" s="47"/>
      <c r="FA184" s="47"/>
      <c r="FB184" s="47"/>
      <c r="FC184" s="47"/>
      <c r="FD184" s="47"/>
      <c r="FE184" s="47"/>
      <c r="FF184" s="47"/>
      <c r="FG184" s="47"/>
      <c r="FH184" s="47"/>
      <c r="FI184" s="47"/>
      <c r="FJ184" s="47"/>
      <c r="FK184" s="47"/>
      <c r="FL184" s="47"/>
      <c r="FM184" s="47"/>
      <c r="FN184" s="47"/>
      <c r="FO184" s="47"/>
      <c r="FP184" s="47"/>
      <c r="FQ184" s="47"/>
      <c r="FR184" s="47"/>
      <c r="FS184" s="47"/>
      <c r="FT184" s="47"/>
      <c r="FU184" s="47"/>
      <c r="FV184" s="47"/>
      <c r="FW184" s="47"/>
      <c r="FX184" s="47"/>
      <c r="FY184" s="47"/>
      <c r="FZ184" s="47"/>
      <c r="GA184" s="47"/>
      <c r="GB184" s="47"/>
      <c r="GC184" s="47"/>
      <c r="GD184" s="47"/>
      <c r="GE184" s="47"/>
      <c r="GF184" s="47"/>
      <c r="GG184" s="47"/>
      <c r="GH184" s="47"/>
      <c r="GI184" s="47"/>
      <c r="GJ184" s="47"/>
      <c r="GK184" s="47"/>
      <c r="GL184" s="47"/>
      <c r="GM184" s="47"/>
      <c r="GN184" s="47"/>
      <c r="GO184" s="47"/>
      <c r="GP184" s="47"/>
      <c r="GQ184" s="47"/>
      <c r="GR184" s="47"/>
      <c r="GS184" s="47"/>
      <c r="GT184" s="47"/>
      <c r="GU184" s="47"/>
      <c r="GV184" s="47"/>
      <c r="GW184" s="47"/>
      <c r="GX184" s="47"/>
      <c r="GY184" s="47"/>
      <c r="GZ184" s="47"/>
      <c r="HA184" s="47"/>
      <c r="HB184" s="47"/>
      <c r="HC184" s="47"/>
      <c r="HD184" s="47"/>
      <c r="HE184" s="47"/>
      <c r="HF184" s="47"/>
      <c r="HG184" s="47"/>
      <c r="HH184" s="47"/>
      <c r="HI184" s="47"/>
      <c r="HJ184" s="47"/>
      <c r="HK184" s="47"/>
      <c r="HL184" s="47"/>
      <c r="HM184" s="47"/>
      <c r="HN184" s="47"/>
      <c r="HO184" s="47"/>
      <c r="HP184" s="47"/>
      <c r="HQ184" s="47"/>
      <c r="HR184" s="47"/>
      <c r="HS184" s="47"/>
      <c r="HT184" s="47"/>
      <c r="HU184" s="47"/>
      <c r="HV184" s="47"/>
      <c r="HW184" s="47"/>
      <c r="HX184" s="47"/>
      <c r="HY184" s="47"/>
      <c r="HZ184" s="47"/>
      <c r="IA184" s="47"/>
      <c r="IB184" s="47"/>
      <c r="IC184" s="47"/>
      <c r="ID184" s="47"/>
    </row>
    <row r="185" spans="2:238" ht="30" customHeight="1" x14ac:dyDescent="0.2">
      <c r="B185" s="67" t="s">
        <v>55</v>
      </c>
      <c r="C185" s="68" t="s">
        <v>57</v>
      </c>
      <c r="D185" s="50">
        <v>1</v>
      </c>
      <c r="E185" s="69">
        <f>F184</f>
        <v>46112</v>
      </c>
      <c r="F185" s="69">
        <f t="shared" si="19"/>
        <v>46113</v>
      </c>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47"/>
      <c r="EJ185" s="47"/>
      <c r="EK185" s="47"/>
      <c r="EL185" s="47"/>
      <c r="EM185" s="47"/>
      <c r="EN185" s="47"/>
      <c r="EO185" s="47"/>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c r="FL185" s="47"/>
      <c r="FM185" s="47"/>
      <c r="FN185" s="47"/>
      <c r="FO185" s="47"/>
      <c r="FP185" s="47"/>
      <c r="FQ185" s="47"/>
      <c r="FR185" s="47"/>
      <c r="FS185" s="47"/>
      <c r="FT185" s="47"/>
      <c r="FU185" s="47"/>
      <c r="FV185" s="47"/>
      <c r="FW185" s="47"/>
      <c r="FX185" s="47"/>
      <c r="FY185" s="47"/>
      <c r="FZ185" s="47"/>
      <c r="GA185" s="47"/>
      <c r="GB185" s="47"/>
      <c r="GC185" s="47"/>
      <c r="GD185" s="47"/>
      <c r="GE185" s="47"/>
      <c r="GF185" s="47"/>
      <c r="GG185" s="47"/>
      <c r="GH185" s="47"/>
      <c r="GI185" s="47"/>
      <c r="GJ185" s="47"/>
      <c r="GK185" s="47"/>
      <c r="GL185" s="47"/>
      <c r="GM185" s="47"/>
      <c r="GN185" s="47"/>
      <c r="GO185" s="47"/>
      <c r="GP185" s="47"/>
      <c r="GQ185" s="47"/>
      <c r="GR185" s="47"/>
      <c r="GS185" s="47"/>
      <c r="GT185" s="47"/>
      <c r="GU185" s="47"/>
      <c r="GV185" s="47"/>
      <c r="GW185" s="47"/>
      <c r="GX185" s="47"/>
      <c r="GY185" s="47"/>
      <c r="GZ185" s="47"/>
      <c r="HA185" s="47"/>
      <c r="HB185" s="47"/>
      <c r="HC185" s="47"/>
      <c r="HD185" s="47"/>
      <c r="HE185" s="47"/>
      <c r="HF185" s="47"/>
      <c r="HG185" s="47"/>
      <c r="HH185" s="47"/>
      <c r="HI185" s="47"/>
      <c r="HJ185" s="47"/>
      <c r="HK185" s="47"/>
      <c r="HL185" s="47"/>
      <c r="HM185" s="47"/>
      <c r="HN185" s="47"/>
      <c r="HO185" s="47"/>
      <c r="HP185" s="47"/>
      <c r="HQ185" s="47"/>
      <c r="HR185" s="47"/>
      <c r="HS185" s="47"/>
      <c r="HT185" s="47"/>
      <c r="HU185" s="47"/>
      <c r="HV185" s="47"/>
      <c r="HW185" s="47"/>
      <c r="HX185" s="47"/>
      <c r="HY185" s="47"/>
      <c r="HZ185" s="47"/>
      <c r="IA185" s="47"/>
      <c r="IB185" s="47"/>
      <c r="IC185" s="47"/>
      <c r="ID185" s="47"/>
    </row>
    <row r="186" spans="2:238" ht="30" customHeight="1" x14ac:dyDescent="0.2">
      <c r="B186" s="67" t="s">
        <v>56</v>
      </c>
      <c r="C186" s="68" t="s">
        <v>57</v>
      </c>
      <c r="D186" s="50">
        <v>1</v>
      </c>
      <c r="E186" s="69">
        <f>F184</f>
        <v>46112</v>
      </c>
      <c r="F186" s="69">
        <f t="shared" si="19"/>
        <v>46113</v>
      </c>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47"/>
      <c r="EJ186" s="47"/>
      <c r="EK186" s="47"/>
      <c r="EL186" s="47"/>
      <c r="EM186" s="47"/>
      <c r="EN186" s="47"/>
      <c r="EO186" s="47"/>
      <c r="EP186" s="47"/>
      <c r="EQ186" s="47"/>
      <c r="ER186" s="47"/>
      <c r="ES186" s="47"/>
      <c r="ET186" s="47"/>
      <c r="EU186" s="47"/>
      <c r="EV186" s="47"/>
      <c r="EW186" s="47"/>
      <c r="EX186" s="47"/>
      <c r="EY186" s="47"/>
      <c r="EZ186" s="47"/>
      <c r="FA186" s="47"/>
      <c r="FB186" s="47"/>
      <c r="FC186" s="47"/>
      <c r="FD186" s="47"/>
      <c r="FE186" s="47"/>
      <c r="FF186" s="47"/>
      <c r="FG186" s="47"/>
      <c r="FH186" s="47"/>
      <c r="FI186" s="47"/>
      <c r="FJ186" s="47"/>
      <c r="FK186" s="47"/>
      <c r="FL186" s="47"/>
      <c r="FM186" s="47"/>
      <c r="FN186" s="47"/>
      <c r="FO186" s="47"/>
      <c r="FP186" s="47"/>
      <c r="FQ186" s="47"/>
      <c r="FR186" s="47"/>
      <c r="FS186" s="47"/>
      <c r="FT186" s="47"/>
      <c r="FU186" s="47"/>
      <c r="FV186" s="47"/>
      <c r="FW186" s="47"/>
      <c r="FX186" s="47"/>
      <c r="FY186" s="47"/>
      <c r="FZ186" s="47"/>
      <c r="GA186" s="47"/>
      <c r="GB186" s="47"/>
      <c r="GC186" s="47"/>
      <c r="GD186" s="47"/>
      <c r="GE186" s="47"/>
      <c r="GF186" s="47"/>
      <c r="GG186" s="47"/>
      <c r="GH186" s="47"/>
      <c r="GI186" s="47"/>
      <c r="GJ186" s="47"/>
      <c r="GK186" s="47"/>
      <c r="GL186" s="47"/>
      <c r="GM186" s="47"/>
      <c r="GN186" s="47"/>
      <c r="GO186" s="47"/>
      <c r="GP186" s="47"/>
      <c r="GQ186" s="47"/>
      <c r="GR186" s="47"/>
      <c r="GS186" s="47"/>
      <c r="GT186" s="47"/>
      <c r="GU186" s="47"/>
      <c r="GV186" s="47"/>
      <c r="GW186" s="47"/>
      <c r="GX186" s="47"/>
      <c r="GY186" s="47"/>
      <c r="GZ186" s="47"/>
      <c r="HA186" s="47"/>
      <c r="HB186" s="47"/>
      <c r="HC186" s="47"/>
      <c r="HD186" s="47"/>
      <c r="HE186" s="47"/>
      <c r="HF186" s="47"/>
      <c r="HG186" s="47"/>
      <c r="HH186" s="47"/>
      <c r="HI186" s="47"/>
      <c r="HJ186" s="47"/>
      <c r="HK186" s="47"/>
      <c r="HL186" s="47"/>
      <c r="HM186" s="47"/>
      <c r="HN186" s="47"/>
      <c r="HO186" s="47"/>
      <c r="HP186" s="47"/>
      <c r="HQ186" s="47"/>
      <c r="HR186" s="47"/>
      <c r="HS186" s="47"/>
      <c r="HT186" s="47"/>
      <c r="HU186" s="47"/>
      <c r="HV186" s="47"/>
      <c r="HW186" s="47"/>
      <c r="HX186" s="47"/>
      <c r="HY186" s="47"/>
      <c r="HZ186" s="47"/>
      <c r="IA186" s="47"/>
      <c r="IB186" s="47"/>
      <c r="IC186" s="47"/>
      <c r="ID186" s="47"/>
    </row>
    <row r="187" spans="2:238" ht="30" customHeight="1" x14ac:dyDescent="0.2">
      <c r="B187" s="67" t="s">
        <v>53</v>
      </c>
      <c r="C187" s="68" t="s">
        <v>57</v>
      </c>
      <c r="D187" s="50">
        <v>1</v>
      </c>
      <c r="E187" s="69">
        <f>F186</f>
        <v>46113</v>
      </c>
      <c r="F187" s="69">
        <f>E187</f>
        <v>46113</v>
      </c>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47"/>
      <c r="EO187" s="47"/>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c r="FL187" s="47"/>
      <c r="FM187" s="47"/>
      <c r="FN187" s="47"/>
      <c r="FO187" s="47"/>
      <c r="FP187" s="47"/>
      <c r="FQ187" s="47"/>
      <c r="FR187" s="47"/>
      <c r="FS187" s="47"/>
      <c r="FT187" s="47"/>
      <c r="FU187" s="47"/>
      <c r="FV187" s="47"/>
      <c r="FW187" s="47"/>
      <c r="FX187" s="47"/>
      <c r="FY187" s="47"/>
      <c r="FZ187" s="47"/>
      <c r="GA187" s="47"/>
      <c r="GB187" s="47"/>
      <c r="GC187" s="47"/>
      <c r="GD187" s="47"/>
      <c r="GE187" s="47"/>
      <c r="GF187" s="47"/>
      <c r="GG187" s="47"/>
      <c r="GH187" s="47"/>
      <c r="GI187" s="47"/>
      <c r="GJ187" s="47"/>
      <c r="GK187" s="47"/>
      <c r="GL187" s="47"/>
      <c r="GM187" s="47"/>
      <c r="GN187" s="47"/>
      <c r="GO187" s="47"/>
      <c r="GP187" s="47"/>
      <c r="GQ187" s="47"/>
      <c r="GR187" s="47"/>
      <c r="GS187" s="47"/>
      <c r="GT187" s="47"/>
      <c r="GU187" s="47"/>
      <c r="GV187" s="47"/>
      <c r="GW187" s="47"/>
      <c r="GX187" s="47"/>
      <c r="GY187" s="47"/>
      <c r="GZ187" s="47"/>
      <c r="HA187" s="47"/>
      <c r="HB187" s="47"/>
      <c r="HC187" s="47"/>
      <c r="HD187" s="47"/>
      <c r="HE187" s="47"/>
      <c r="HF187" s="47"/>
      <c r="HG187" s="47"/>
      <c r="HH187" s="47"/>
      <c r="HI187" s="47"/>
      <c r="HJ187" s="47"/>
      <c r="HK187" s="47"/>
      <c r="HL187" s="47"/>
      <c r="HM187" s="47"/>
      <c r="HN187" s="47"/>
      <c r="HO187" s="47"/>
      <c r="HP187" s="47"/>
      <c r="HQ187" s="47"/>
      <c r="HR187" s="47"/>
      <c r="HS187" s="47"/>
      <c r="HT187" s="47"/>
      <c r="HU187" s="47"/>
      <c r="HV187" s="47"/>
      <c r="HW187" s="47"/>
      <c r="HX187" s="47"/>
      <c r="HY187" s="47"/>
      <c r="HZ187" s="47"/>
      <c r="IA187" s="47"/>
      <c r="IB187" s="47"/>
      <c r="IC187" s="47"/>
      <c r="ID187" s="47"/>
    </row>
    <row r="188" spans="2:238" ht="30" customHeight="1" x14ac:dyDescent="0.2">
      <c r="B188" s="67" t="s">
        <v>174</v>
      </c>
      <c r="C188" s="68" t="s">
        <v>57</v>
      </c>
      <c r="D188" s="50">
        <v>1</v>
      </c>
      <c r="E188" s="69">
        <v>46114</v>
      </c>
      <c r="F188" s="69">
        <f>E188+1</f>
        <v>46115</v>
      </c>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47"/>
      <c r="EJ188" s="47"/>
      <c r="EK188" s="47"/>
      <c r="EL188" s="47"/>
      <c r="EM188" s="47"/>
      <c r="EN188" s="47"/>
      <c r="EO188" s="47"/>
      <c r="EP188" s="47"/>
      <c r="EQ188" s="47"/>
      <c r="ER188" s="47"/>
      <c r="ES188" s="47"/>
      <c r="ET188" s="47"/>
      <c r="EU188" s="47"/>
      <c r="EV188" s="47"/>
      <c r="EW188" s="47"/>
      <c r="EX188" s="47"/>
      <c r="EY188" s="47"/>
      <c r="EZ188" s="47"/>
      <c r="FA188" s="47"/>
      <c r="FB188" s="47"/>
      <c r="FC188" s="47"/>
      <c r="FD188" s="47"/>
      <c r="FE188" s="47"/>
      <c r="FF188" s="47"/>
      <c r="FG188" s="47"/>
      <c r="FH188" s="47"/>
      <c r="FI188" s="47"/>
      <c r="FJ188" s="47"/>
      <c r="FK188" s="47"/>
      <c r="FL188" s="47"/>
      <c r="FM188" s="47"/>
      <c r="FN188" s="47"/>
      <c r="FO188" s="47"/>
      <c r="FP188" s="47"/>
      <c r="FQ188" s="47"/>
      <c r="FR188" s="47"/>
      <c r="FS188" s="47"/>
      <c r="FT188" s="47"/>
      <c r="FU188" s="47"/>
      <c r="FV188" s="47"/>
      <c r="FW188" s="47"/>
      <c r="FX188" s="47"/>
      <c r="FY188" s="47"/>
      <c r="FZ188" s="47"/>
      <c r="GA188" s="47"/>
      <c r="GB188" s="47"/>
      <c r="GC188" s="47"/>
      <c r="GD188" s="47"/>
      <c r="GE188" s="47"/>
      <c r="GF188" s="47"/>
      <c r="GG188" s="47"/>
      <c r="GH188" s="47"/>
      <c r="GI188" s="47"/>
      <c r="GJ188" s="47"/>
      <c r="GK188" s="47"/>
      <c r="GL188" s="47"/>
      <c r="GM188" s="47"/>
      <c r="GN188" s="47"/>
      <c r="GO188" s="47"/>
      <c r="GP188" s="47"/>
      <c r="GQ188" s="47"/>
      <c r="GR188" s="47"/>
      <c r="GS188" s="47"/>
      <c r="GT188" s="47"/>
      <c r="GU188" s="47"/>
      <c r="GV188" s="47"/>
      <c r="GW188" s="47"/>
      <c r="GX188" s="47"/>
      <c r="GY188" s="47"/>
      <c r="GZ188" s="47"/>
      <c r="HA188" s="47"/>
      <c r="HB188" s="47"/>
      <c r="HC188" s="47"/>
      <c r="HD188" s="47"/>
      <c r="HE188" s="47"/>
      <c r="HF188" s="47"/>
      <c r="HG188" s="47"/>
      <c r="HH188" s="47"/>
      <c r="HI188" s="47"/>
      <c r="HJ188" s="47"/>
      <c r="HK188" s="47"/>
      <c r="HL188" s="47"/>
      <c r="HM188" s="47"/>
      <c r="HN188" s="47"/>
      <c r="HO188" s="47"/>
      <c r="HP188" s="47"/>
      <c r="HQ188" s="47"/>
      <c r="HR188" s="47"/>
      <c r="HS188" s="47"/>
      <c r="HT188" s="47"/>
      <c r="HU188" s="47"/>
      <c r="HV188" s="47"/>
      <c r="HW188" s="47"/>
      <c r="HX188" s="47"/>
      <c r="HY188" s="47"/>
      <c r="HZ188" s="47"/>
      <c r="IA188" s="47"/>
      <c r="IB188" s="47"/>
      <c r="IC188" s="47"/>
      <c r="ID188" s="47"/>
    </row>
    <row r="189" spans="2:238" ht="30" customHeight="1" x14ac:dyDescent="0.2">
      <c r="B189" s="67" t="s">
        <v>175</v>
      </c>
      <c r="C189" s="68" t="s">
        <v>57</v>
      </c>
      <c r="D189" s="50">
        <v>1</v>
      </c>
      <c r="E189" s="69">
        <v>46115</v>
      </c>
      <c r="F189" s="69">
        <f>E189+3</f>
        <v>46118</v>
      </c>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47"/>
      <c r="EO189" s="47"/>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c r="FL189" s="47"/>
      <c r="FM189" s="47"/>
      <c r="FN189" s="47"/>
      <c r="FO189" s="47"/>
      <c r="FP189" s="47"/>
      <c r="FQ189" s="47"/>
      <c r="FR189" s="47"/>
      <c r="FS189" s="47"/>
      <c r="FT189" s="47"/>
      <c r="FU189" s="47"/>
      <c r="FV189" s="47"/>
      <c r="FW189" s="47"/>
      <c r="FX189" s="47"/>
      <c r="FY189" s="47"/>
      <c r="FZ189" s="47"/>
      <c r="GA189" s="47"/>
      <c r="GB189" s="47"/>
      <c r="GC189" s="47"/>
      <c r="GD189" s="47"/>
      <c r="GE189" s="47"/>
      <c r="GF189" s="47"/>
      <c r="GG189" s="47"/>
      <c r="GH189" s="47"/>
      <c r="GI189" s="47"/>
      <c r="GJ189" s="47"/>
      <c r="GK189" s="47"/>
      <c r="GL189" s="47"/>
      <c r="GM189" s="47"/>
      <c r="GN189" s="47"/>
      <c r="GO189" s="47"/>
      <c r="GP189" s="47"/>
      <c r="GQ189" s="47"/>
      <c r="GR189" s="47"/>
      <c r="GS189" s="47"/>
      <c r="GT189" s="47"/>
      <c r="GU189" s="47"/>
      <c r="GV189" s="47"/>
      <c r="GW189" s="47"/>
      <c r="GX189" s="47"/>
      <c r="GY189" s="47"/>
      <c r="GZ189" s="47"/>
      <c r="HA189" s="47"/>
      <c r="HB189" s="47"/>
      <c r="HC189" s="47"/>
      <c r="HD189" s="47"/>
      <c r="HE189" s="47"/>
      <c r="HF189" s="47"/>
      <c r="HG189" s="47"/>
      <c r="HH189" s="47"/>
      <c r="HI189" s="47"/>
      <c r="HJ189" s="47"/>
      <c r="HK189" s="47"/>
      <c r="HL189" s="47"/>
      <c r="HM189" s="47"/>
      <c r="HN189" s="47"/>
      <c r="HO189" s="47"/>
      <c r="HP189" s="47"/>
      <c r="HQ189" s="47"/>
      <c r="HR189" s="47"/>
      <c r="HS189" s="47"/>
      <c r="HT189" s="47"/>
      <c r="HU189" s="47"/>
      <c r="HV189" s="47"/>
      <c r="HW189" s="47"/>
      <c r="HX189" s="47"/>
      <c r="HY189" s="47"/>
      <c r="HZ189" s="47"/>
      <c r="IA189" s="47"/>
      <c r="IB189" s="47"/>
      <c r="IC189" s="47"/>
      <c r="ID189" s="47"/>
    </row>
    <row r="190" spans="2:238" ht="30" customHeight="1" x14ac:dyDescent="0.2">
      <c r="B190" s="67" t="s">
        <v>176</v>
      </c>
      <c r="C190" s="68" t="s">
        <v>60</v>
      </c>
      <c r="D190" s="50">
        <v>1</v>
      </c>
      <c r="E190" s="69">
        <f>F189</f>
        <v>46118</v>
      </c>
      <c r="F190" s="69">
        <f>E190+1</f>
        <v>46119</v>
      </c>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47"/>
      <c r="EJ190" s="47"/>
      <c r="EK190" s="47"/>
      <c r="EL190" s="47"/>
      <c r="EM190" s="47"/>
      <c r="EN190" s="47"/>
      <c r="EO190" s="47"/>
      <c r="EP190" s="47"/>
      <c r="EQ190" s="47"/>
      <c r="ER190" s="47"/>
      <c r="ES190" s="47"/>
      <c r="ET190" s="47"/>
      <c r="EU190" s="47"/>
      <c r="EV190" s="47"/>
      <c r="EW190" s="47"/>
      <c r="EX190" s="47"/>
      <c r="EY190" s="47"/>
      <c r="EZ190" s="47"/>
      <c r="FA190" s="47"/>
      <c r="FB190" s="47"/>
      <c r="FC190" s="47"/>
      <c r="FD190" s="47"/>
      <c r="FE190" s="47"/>
      <c r="FF190" s="47"/>
      <c r="FG190" s="47"/>
      <c r="FH190" s="47"/>
      <c r="FI190" s="47"/>
      <c r="FJ190" s="47"/>
      <c r="FK190" s="47"/>
      <c r="FL190" s="47"/>
      <c r="FM190" s="47"/>
      <c r="FN190" s="47"/>
      <c r="FO190" s="47"/>
      <c r="FP190" s="47"/>
      <c r="FQ190" s="47"/>
      <c r="FR190" s="47"/>
      <c r="FS190" s="47"/>
      <c r="FT190" s="47"/>
      <c r="FU190" s="47"/>
      <c r="FV190" s="47"/>
      <c r="FW190" s="47"/>
      <c r="FX190" s="47"/>
      <c r="FY190" s="47"/>
      <c r="FZ190" s="47"/>
      <c r="GA190" s="47"/>
      <c r="GB190" s="47"/>
      <c r="GC190" s="47"/>
      <c r="GD190" s="47"/>
      <c r="GE190" s="47"/>
      <c r="GF190" s="47"/>
      <c r="GG190" s="47"/>
      <c r="GH190" s="47"/>
      <c r="GI190" s="47"/>
      <c r="GJ190" s="47"/>
      <c r="GK190" s="47"/>
      <c r="GL190" s="47"/>
      <c r="GM190" s="47"/>
      <c r="GN190" s="47"/>
      <c r="GO190" s="47"/>
      <c r="GP190" s="47"/>
      <c r="GQ190" s="47"/>
      <c r="GR190" s="47"/>
      <c r="GS190" s="47"/>
      <c r="GT190" s="47"/>
      <c r="GU190" s="47"/>
      <c r="GV190" s="47"/>
      <c r="GW190" s="47"/>
      <c r="GX190" s="47"/>
      <c r="GY190" s="47"/>
      <c r="GZ190" s="47"/>
      <c r="HA190" s="47"/>
      <c r="HB190" s="47"/>
      <c r="HC190" s="47"/>
      <c r="HD190" s="47"/>
      <c r="HE190" s="47"/>
      <c r="HF190" s="47"/>
      <c r="HG190" s="47"/>
      <c r="HH190" s="47"/>
      <c r="HI190" s="47"/>
      <c r="HJ190" s="47"/>
      <c r="HK190" s="47"/>
      <c r="HL190" s="47"/>
      <c r="HM190" s="47"/>
      <c r="HN190" s="47"/>
      <c r="HO190" s="47"/>
      <c r="HP190" s="47"/>
      <c r="HQ190" s="47"/>
      <c r="HR190" s="47"/>
      <c r="HS190" s="47"/>
      <c r="HT190" s="47"/>
      <c r="HU190" s="47"/>
      <c r="HV190" s="47"/>
      <c r="HW190" s="47"/>
      <c r="HX190" s="47"/>
      <c r="HY190" s="47"/>
      <c r="HZ190" s="47"/>
      <c r="IA190" s="47"/>
      <c r="IB190" s="47"/>
      <c r="IC190" s="47"/>
      <c r="ID190" s="47"/>
    </row>
    <row r="191" spans="2:238" ht="30" customHeight="1" x14ac:dyDescent="0.2">
      <c r="B191" s="67" t="s">
        <v>177</v>
      </c>
      <c r="C191" s="68" t="s">
        <v>52</v>
      </c>
      <c r="D191" s="50">
        <v>1</v>
      </c>
      <c r="E191" s="69">
        <f>F189</f>
        <v>46118</v>
      </c>
      <c r="F191" s="69">
        <f>E191+1</f>
        <v>46119</v>
      </c>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47"/>
      <c r="EO191" s="47"/>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c r="FL191" s="47"/>
      <c r="FM191" s="47"/>
      <c r="FN191" s="47"/>
      <c r="FO191" s="47"/>
      <c r="FP191" s="47"/>
      <c r="FQ191" s="47"/>
      <c r="FR191" s="47"/>
      <c r="FS191" s="47"/>
      <c r="FT191" s="47"/>
      <c r="FU191" s="47"/>
      <c r="FV191" s="47"/>
      <c r="FW191" s="47"/>
      <c r="FX191" s="47"/>
      <c r="FY191" s="47"/>
      <c r="FZ191" s="47"/>
      <c r="GA191" s="47"/>
      <c r="GB191" s="47"/>
      <c r="GC191" s="47"/>
      <c r="GD191" s="47"/>
      <c r="GE191" s="47"/>
      <c r="GF191" s="47"/>
      <c r="GG191" s="47"/>
      <c r="GH191" s="47"/>
      <c r="GI191" s="47"/>
      <c r="GJ191" s="47"/>
      <c r="GK191" s="47"/>
      <c r="GL191" s="47"/>
      <c r="GM191" s="47"/>
      <c r="GN191" s="47"/>
      <c r="GO191" s="47"/>
      <c r="GP191" s="47"/>
      <c r="GQ191" s="47"/>
      <c r="GR191" s="47"/>
      <c r="GS191" s="47"/>
      <c r="GT191" s="47"/>
      <c r="GU191" s="47"/>
      <c r="GV191" s="47"/>
      <c r="GW191" s="47"/>
      <c r="GX191" s="47"/>
      <c r="GY191" s="47"/>
      <c r="GZ191" s="47"/>
      <c r="HA191" s="47"/>
      <c r="HB191" s="47"/>
      <c r="HC191" s="47"/>
      <c r="HD191" s="47"/>
      <c r="HE191" s="47"/>
      <c r="HF191" s="47"/>
      <c r="HG191" s="47"/>
      <c r="HH191" s="47"/>
      <c r="HI191" s="47"/>
      <c r="HJ191" s="47"/>
      <c r="HK191" s="47"/>
      <c r="HL191" s="47"/>
      <c r="HM191" s="47"/>
      <c r="HN191" s="47"/>
      <c r="HO191" s="47"/>
      <c r="HP191" s="47"/>
      <c r="HQ191" s="47"/>
      <c r="HR191" s="47"/>
      <c r="HS191" s="47"/>
      <c r="HT191" s="47"/>
      <c r="HU191" s="47"/>
      <c r="HV191" s="47"/>
      <c r="HW191" s="47"/>
      <c r="HX191" s="47"/>
      <c r="HY191" s="47"/>
      <c r="HZ191" s="47"/>
      <c r="IA191" s="47"/>
      <c r="IB191" s="47"/>
      <c r="IC191" s="47"/>
      <c r="ID191" s="47"/>
    </row>
    <row r="192" spans="2:238" ht="30" customHeight="1" x14ac:dyDescent="0.2">
      <c r="B192" s="67" t="s">
        <v>55</v>
      </c>
      <c r="C192" s="68" t="s">
        <v>57</v>
      </c>
      <c r="D192" s="50">
        <v>1</v>
      </c>
      <c r="E192" s="69">
        <f>F191</f>
        <v>46119</v>
      </c>
      <c r="F192" s="69">
        <f>E192+1</f>
        <v>46120</v>
      </c>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47"/>
      <c r="EJ192" s="47"/>
      <c r="EK192" s="47"/>
      <c r="EL192" s="47"/>
      <c r="EM192" s="47"/>
      <c r="EN192" s="47"/>
      <c r="EO192" s="47"/>
      <c r="EP192" s="47"/>
      <c r="EQ192" s="47"/>
      <c r="ER192" s="47"/>
      <c r="ES192" s="47"/>
      <c r="ET192" s="47"/>
      <c r="EU192" s="47"/>
      <c r="EV192" s="47"/>
      <c r="EW192" s="47"/>
      <c r="EX192" s="47"/>
      <c r="EY192" s="47"/>
      <c r="EZ192" s="47"/>
      <c r="FA192" s="47"/>
      <c r="FB192" s="47"/>
      <c r="FC192" s="47"/>
      <c r="FD192" s="47"/>
      <c r="FE192" s="47"/>
      <c r="FF192" s="47"/>
      <c r="FG192" s="47"/>
      <c r="FH192" s="47"/>
      <c r="FI192" s="47"/>
      <c r="FJ192" s="47"/>
      <c r="FK192" s="47"/>
      <c r="FL192" s="47"/>
      <c r="FM192" s="47"/>
      <c r="FN192" s="47"/>
      <c r="FO192" s="47"/>
      <c r="FP192" s="47"/>
      <c r="FQ192" s="47"/>
      <c r="FR192" s="47"/>
      <c r="FS192" s="47"/>
      <c r="FT192" s="47"/>
      <c r="FU192" s="47"/>
      <c r="FV192" s="47"/>
      <c r="FW192" s="47"/>
      <c r="FX192" s="47"/>
      <c r="FY192" s="47"/>
      <c r="FZ192" s="47"/>
      <c r="GA192" s="47"/>
      <c r="GB192" s="47"/>
      <c r="GC192" s="47"/>
      <c r="GD192" s="47"/>
      <c r="GE192" s="47"/>
      <c r="GF192" s="47"/>
      <c r="GG192" s="47"/>
      <c r="GH192" s="47"/>
      <c r="GI192" s="47"/>
      <c r="GJ192" s="47"/>
      <c r="GK192" s="47"/>
      <c r="GL192" s="47"/>
      <c r="GM192" s="47"/>
      <c r="GN192" s="47"/>
      <c r="GO192" s="47"/>
      <c r="GP192" s="47"/>
      <c r="GQ192" s="47"/>
      <c r="GR192" s="47"/>
      <c r="GS192" s="47"/>
      <c r="GT192" s="47"/>
      <c r="GU192" s="47"/>
      <c r="GV192" s="47"/>
      <c r="GW192" s="47"/>
      <c r="GX192" s="47"/>
      <c r="GY192" s="47"/>
      <c r="GZ192" s="47"/>
      <c r="HA192" s="47"/>
      <c r="HB192" s="47"/>
      <c r="HC192" s="47"/>
      <c r="HD192" s="47"/>
      <c r="HE192" s="47"/>
      <c r="HF192" s="47"/>
      <c r="HG192" s="47"/>
      <c r="HH192" s="47"/>
      <c r="HI192" s="47"/>
      <c r="HJ192" s="47"/>
      <c r="HK192" s="47"/>
      <c r="HL192" s="47"/>
      <c r="HM192" s="47"/>
      <c r="HN192" s="47"/>
      <c r="HO192" s="47"/>
      <c r="HP192" s="47"/>
      <c r="HQ192" s="47"/>
      <c r="HR192" s="47"/>
      <c r="HS192" s="47"/>
      <c r="HT192" s="47"/>
      <c r="HU192" s="47"/>
      <c r="HV192" s="47"/>
      <c r="HW192" s="47"/>
      <c r="HX192" s="47"/>
      <c r="HY192" s="47"/>
      <c r="HZ192" s="47"/>
      <c r="IA192" s="47"/>
      <c r="IB192" s="47"/>
      <c r="IC192" s="47"/>
      <c r="ID192" s="47"/>
    </row>
    <row r="193" spans="2:238" ht="30" customHeight="1" x14ac:dyDescent="0.2">
      <c r="B193" s="67" t="s">
        <v>56</v>
      </c>
      <c r="C193" s="68" t="s">
        <v>57</v>
      </c>
      <c r="D193" s="50">
        <v>1</v>
      </c>
      <c r="E193" s="69">
        <f>F191</f>
        <v>46119</v>
      </c>
      <c r="F193" s="69">
        <f>E193+1</f>
        <v>46120</v>
      </c>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47"/>
      <c r="EJ193" s="47"/>
      <c r="EK193" s="47"/>
      <c r="EL193" s="47"/>
      <c r="EM193" s="47"/>
      <c r="EN193" s="47"/>
      <c r="EO193" s="47"/>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c r="FL193" s="47"/>
      <c r="FM193" s="47"/>
      <c r="FN193" s="47"/>
      <c r="FO193" s="47"/>
      <c r="FP193" s="47"/>
      <c r="FQ193" s="47"/>
      <c r="FR193" s="47"/>
      <c r="FS193" s="47"/>
      <c r="FT193" s="47"/>
      <c r="FU193" s="47"/>
      <c r="FV193" s="47"/>
      <c r="FW193" s="47"/>
      <c r="FX193" s="47"/>
      <c r="FY193" s="47"/>
      <c r="FZ193" s="47"/>
      <c r="GA193" s="47"/>
      <c r="GB193" s="47"/>
      <c r="GC193" s="47"/>
      <c r="GD193" s="47"/>
      <c r="GE193" s="47"/>
      <c r="GF193" s="47"/>
      <c r="GG193" s="47"/>
      <c r="GH193" s="47"/>
      <c r="GI193" s="47"/>
      <c r="GJ193" s="47"/>
      <c r="GK193" s="47"/>
      <c r="GL193" s="47"/>
      <c r="GM193" s="47"/>
      <c r="GN193" s="47"/>
      <c r="GO193" s="47"/>
      <c r="GP193" s="47"/>
      <c r="GQ193" s="47"/>
      <c r="GR193" s="47"/>
      <c r="GS193" s="47"/>
      <c r="GT193" s="47"/>
      <c r="GU193" s="47"/>
      <c r="GV193" s="47"/>
      <c r="GW193" s="47"/>
      <c r="GX193" s="47"/>
      <c r="GY193" s="47"/>
      <c r="GZ193" s="47"/>
      <c r="HA193" s="47"/>
      <c r="HB193" s="47"/>
      <c r="HC193" s="47"/>
      <c r="HD193" s="47"/>
      <c r="HE193" s="47"/>
      <c r="HF193" s="47"/>
      <c r="HG193" s="47"/>
      <c r="HH193" s="47"/>
      <c r="HI193" s="47"/>
      <c r="HJ193" s="47"/>
      <c r="HK193" s="47"/>
      <c r="HL193" s="47"/>
      <c r="HM193" s="47"/>
      <c r="HN193" s="47"/>
      <c r="HO193" s="47"/>
      <c r="HP193" s="47"/>
      <c r="HQ193" s="47"/>
      <c r="HR193" s="47"/>
      <c r="HS193" s="47"/>
      <c r="HT193" s="47"/>
      <c r="HU193" s="47"/>
      <c r="HV193" s="47"/>
      <c r="HW193" s="47"/>
      <c r="HX193" s="47"/>
      <c r="HY193" s="47"/>
      <c r="HZ193" s="47"/>
      <c r="IA193" s="47"/>
      <c r="IB193" s="47"/>
      <c r="IC193" s="47"/>
      <c r="ID193" s="47"/>
    </row>
    <row r="194" spans="2:238" ht="30" customHeight="1" x14ac:dyDescent="0.2">
      <c r="B194" s="67" t="s">
        <v>179</v>
      </c>
      <c r="C194" s="68" t="s">
        <v>57</v>
      </c>
      <c r="D194" s="50">
        <v>1</v>
      </c>
      <c r="E194" s="69">
        <f>F192-1</f>
        <v>46119</v>
      </c>
      <c r="F194" s="69">
        <f>E194</f>
        <v>46119</v>
      </c>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47"/>
      <c r="EJ194" s="47"/>
      <c r="EK194" s="47"/>
      <c r="EL194" s="47"/>
      <c r="EM194" s="47"/>
      <c r="EN194" s="47"/>
      <c r="EO194" s="47"/>
      <c r="EP194" s="47"/>
      <c r="EQ194" s="47"/>
      <c r="ER194" s="47"/>
      <c r="ES194" s="47"/>
      <c r="ET194" s="47"/>
      <c r="EU194" s="47"/>
      <c r="EV194" s="47"/>
      <c r="EW194" s="47"/>
      <c r="EX194" s="47"/>
      <c r="EY194" s="47"/>
      <c r="EZ194" s="47"/>
      <c r="FA194" s="47"/>
      <c r="FB194" s="47"/>
      <c r="FC194" s="47"/>
      <c r="FD194" s="47"/>
      <c r="FE194" s="47"/>
      <c r="FF194" s="47"/>
      <c r="FG194" s="47"/>
      <c r="FH194" s="47"/>
      <c r="FI194" s="47"/>
      <c r="FJ194" s="47"/>
      <c r="FK194" s="47"/>
      <c r="FL194" s="47"/>
      <c r="FM194" s="47"/>
      <c r="FN194" s="47"/>
      <c r="FO194" s="47"/>
      <c r="FP194" s="47"/>
      <c r="FQ194" s="47"/>
      <c r="FR194" s="47"/>
      <c r="FS194" s="47"/>
      <c r="FT194" s="47"/>
      <c r="FU194" s="47"/>
      <c r="FV194" s="47"/>
      <c r="FW194" s="47"/>
      <c r="FX194" s="47"/>
      <c r="FY194" s="47"/>
      <c r="FZ194" s="47"/>
      <c r="GA194" s="47"/>
      <c r="GB194" s="47"/>
      <c r="GC194" s="47"/>
      <c r="GD194" s="47"/>
      <c r="GE194" s="47"/>
      <c r="GF194" s="47"/>
      <c r="GG194" s="47"/>
      <c r="GH194" s="47"/>
      <c r="GI194" s="47"/>
      <c r="GJ194" s="47"/>
      <c r="GK194" s="47"/>
      <c r="GL194" s="47"/>
      <c r="GM194" s="47"/>
      <c r="GN194" s="47"/>
      <c r="GO194" s="47"/>
      <c r="GP194" s="47"/>
      <c r="GQ194" s="47"/>
      <c r="GR194" s="47"/>
      <c r="GS194" s="47"/>
      <c r="GT194" s="47"/>
      <c r="GU194" s="47"/>
      <c r="GV194" s="47"/>
      <c r="GW194" s="47"/>
      <c r="GX194" s="47"/>
      <c r="GY194" s="47"/>
      <c r="GZ194" s="47"/>
      <c r="HA194" s="47"/>
      <c r="HB194" s="47"/>
      <c r="HC194" s="47"/>
      <c r="HD194" s="47"/>
      <c r="HE194" s="47"/>
      <c r="HF194" s="47"/>
      <c r="HG194" s="47"/>
      <c r="HH194" s="47"/>
      <c r="HI194" s="47"/>
      <c r="HJ194" s="47"/>
      <c r="HK194" s="47"/>
      <c r="HL194" s="47"/>
      <c r="HM194" s="47"/>
      <c r="HN194" s="47"/>
      <c r="HO194" s="47"/>
      <c r="HP194" s="47"/>
      <c r="HQ194" s="47"/>
      <c r="HR194" s="47"/>
      <c r="HS194" s="47"/>
      <c r="HT194" s="47"/>
      <c r="HU194" s="47"/>
      <c r="HV194" s="47"/>
      <c r="HW194" s="47"/>
      <c r="HX194" s="47"/>
      <c r="HY194" s="47"/>
      <c r="HZ194" s="47"/>
      <c r="IA194" s="47"/>
      <c r="IB194" s="47"/>
      <c r="IC194" s="47"/>
      <c r="ID194" s="47"/>
    </row>
    <row r="195" spans="2:238" ht="30" customHeight="1" x14ac:dyDescent="0.2">
      <c r="B195" s="67" t="s">
        <v>180</v>
      </c>
      <c r="C195" s="68" t="s">
        <v>57</v>
      </c>
      <c r="D195" s="50">
        <v>1</v>
      </c>
      <c r="E195" s="69">
        <f>F193-1</f>
        <v>46119</v>
      </c>
      <c r="F195" s="69">
        <f>E195</f>
        <v>46119</v>
      </c>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47"/>
      <c r="EJ195" s="47"/>
      <c r="EK195" s="47"/>
      <c r="EL195" s="47"/>
      <c r="EM195" s="47"/>
      <c r="EN195" s="47"/>
      <c r="EO195" s="47"/>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c r="FL195" s="47"/>
      <c r="FM195" s="47"/>
      <c r="FN195" s="47"/>
      <c r="FO195" s="47"/>
      <c r="FP195" s="47"/>
      <c r="FQ195" s="47"/>
      <c r="FR195" s="47"/>
      <c r="FS195" s="47"/>
      <c r="FT195" s="47"/>
      <c r="FU195" s="47"/>
      <c r="FV195" s="47"/>
      <c r="FW195" s="47"/>
      <c r="FX195" s="47"/>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47"/>
      <c r="HE195" s="47"/>
      <c r="HF195" s="47"/>
      <c r="HG195" s="47"/>
      <c r="HH195" s="47"/>
      <c r="HI195" s="47"/>
      <c r="HJ195" s="47"/>
      <c r="HK195" s="47"/>
      <c r="HL195" s="47"/>
      <c r="HM195" s="47"/>
      <c r="HN195" s="47"/>
      <c r="HO195" s="47"/>
      <c r="HP195" s="47"/>
      <c r="HQ195" s="47"/>
      <c r="HR195" s="47"/>
      <c r="HS195" s="47"/>
      <c r="HT195" s="47"/>
      <c r="HU195" s="47"/>
      <c r="HV195" s="47"/>
      <c r="HW195" s="47"/>
      <c r="HX195" s="47"/>
      <c r="HY195" s="47"/>
      <c r="HZ195" s="47"/>
      <c r="IA195" s="47"/>
      <c r="IB195" s="47"/>
      <c r="IC195" s="47"/>
      <c r="ID195" s="47"/>
    </row>
    <row r="196" spans="2:238" ht="30" customHeight="1" x14ac:dyDescent="0.2">
      <c r="B196" s="67" t="s">
        <v>178</v>
      </c>
      <c r="C196" s="68" t="s">
        <v>57</v>
      </c>
      <c r="D196" s="50">
        <v>1</v>
      </c>
      <c r="E196" s="69">
        <f>F194</f>
        <v>46119</v>
      </c>
      <c r="F196" s="69">
        <f>E196</f>
        <v>46119</v>
      </c>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47"/>
      <c r="EJ196" s="47"/>
      <c r="EK196" s="47"/>
      <c r="EL196" s="47"/>
      <c r="EM196" s="47"/>
      <c r="EN196" s="47"/>
      <c r="EO196" s="47"/>
      <c r="EP196" s="47"/>
      <c r="EQ196" s="47"/>
      <c r="ER196" s="47"/>
      <c r="ES196" s="47"/>
      <c r="ET196" s="47"/>
      <c r="EU196" s="47"/>
      <c r="EV196" s="47"/>
      <c r="EW196" s="47"/>
      <c r="EX196" s="47"/>
      <c r="EY196" s="47"/>
      <c r="EZ196" s="47"/>
      <c r="FA196" s="47"/>
      <c r="FB196" s="47"/>
      <c r="FC196" s="47"/>
      <c r="FD196" s="47"/>
      <c r="FE196" s="47"/>
      <c r="FF196" s="47"/>
      <c r="FG196" s="47"/>
      <c r="FH196" s="47"/>
      <c r="FI196" s="47"/>
      <c r="FJ196" s="47"/>
      <c r="FK196" s="47"/>
      <c r="FL196" s="47"/>
      <c r="FM196" s="47"/>
      <c r="FN196" s="47"/>
      <c r="FO196" s="47"/>
      <c r="FP196" s="47"/>
      <c r="FQ196" s="47"/>
      <c r="FR196" s="47"/>
      <c r="FS196" s="47"/>
      <c r="FT196" s="47"/>
      <c r="FU196" s="47"/>
      <c r="FV196" s="47"/>
      <c r="FW196" s="47"/>
      <c r="FX196" s="47"/>
      <c r="FY196" s="47"/>
      <c r="FZ196" s="47"/>
      <c r="GA196" s="47"/>
      <c r="GB196" s="47"/>
      <c r="GC196" s="47"/>
      <c r="GD196" s="47"/>
      <c r="GE196" s="47"/>
      <c r="GF196" s="47"/>
      <c r="GG196" s="47"/>
      <c r="GH196" s="47"/>
      <c r="GI196" s="47"/>
      <c r="GJ196" s="47"/>
      <c r="GK196" s="47"/>
      <c r="GL196" s="47"/>
      <c r="GM196" s="47"/>
      <c r="GN196" s="47"/>
      <c r="GO196" s="47"/>
      <c r="GP196" s="47"/>
      <c r="GQ196" s="47"/>
      <c r="GR196" s="47"/>
      <c r="GS196" s="47"/>
      <c r="GT196" s="47"/>
      <c r="GU196" s="47"/>
      <c r="GV196" s="47"/>
      <c r="GW196" s="47"/>
      <c r="GX196" s="47"/>
      <c r="GY196" s="47"/>
      <c r="GZ196" s="47"/>
      <c r="HA196" s="47"/>
      <c r="HB196" s="47"/>
      <c r="HC196" s="47"/>
      <c r="HD196" s="47"/>
      <c r="HE196" s="47"/>
      <c r="HF196" s="47"/>
      <c r="HG196" s="47"/>
      <c r="HH196" s="47"/>
      <c r="HI196" s="47"/>
      <c r="HJ196" s="47"/>
      <c r="HK196" s="47"/>
      <c r="HL196" s="47"/>
      <c r="HM196" s="47"/>
      <c r="HN196" s="47"/>
      <c r="HO196" s="47"/>
      <c r="HP196" s="47"/>
      <c r="HQ196" s="47"/>
      <c r="HR196" s="47"/>
      <c r="HS196" s="47"/>
      <c r="HT196" s="47"/>
      <c r="HU196" s="47"/>
      <c r="HV196" s="47"/>
      <c r="HW196" s="47"/>
      <c r="HX196" s="47"/>
      <c r="HY196" s="47"/>
      <c r="HZ196" s="47"/>
      <c r="IA196" s="47"/>
      <c r="IB196" s="47"/>
      <c r="IC196" s="47"/>
      <c r="ID196" s="47"/>
    </row>
  </sheetData>
  <mergeCells count="43">
    <mergeCell ref="BM4:BS4"/>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 ref="BT4:BZ4"/>
    <mergeCell ref="CA4:CG4"/>
    <mergeCell ref="CH4:CN4"/>
    <mergeCell ref="CO4:CU4"/>
    <mergeCell ref="CV4:DB4"/>
    <mergeCell ref="DC4:DI4"/>
    <mergeCell ref="DJ4:DP4"/>
    <mergeCell ref="DQ4:DW4"/>
    <mergeCell ref="DX4:ED4"/>
    <mergeCell ref="EE4:EK4"/>
    <mergeCell ref="EL4:ER4"/>
    <mergeCell ref="ES4:EY4"/>
    <mergeCell ref="EZ4:FF4"/>
    <mergeCell ref="FG4:FM4"/>
    <mergeCell ref="FN4:FT4"/>
    <mergeCell ref="HD4:HJ4"/>
    <mergeCell ref="HK4:HQ4"/>
    <mergeCell ref="HR4:HX4"/>
    <mergeCell ref="HY4:IE4"/>
    <mergeCell ref="FU4:GA4"/>
    <mergeCell ref="GB4:GH4"/>
    <mergeCell ref="GI4:GO4"/>
    <mergeCell ref="GP4:GV4"/>
    <mergeCell ref="GW4:HC4"/>
  </mergeCells>
  <conditionalFormatting sqref="D8:D44 D180:D196">
    <cfRule type="dataBar" priority="15">
      <dataBar>
        <cfvo type="num" val="0"/>
        <cfvo type="num" val="1"/>
        <color theme="0"/>
      </dataBar>
      <extLst>
        <ext xmlns:x14="http://schemas.microsoft.com/office/spreadsheetml/2009/9/main" uri="{B025F937-C7B1-47D3-B67F-A62EFF666E3E}">
          <x14:id>{732D3D87-078C-4ADC-8A0B-9A8F94271157}</x14:id>
        </ext>
      </extLst>
    </cfRule>
  </conditionalFormatting>
  <conditionalFormatting sqref="D45:D84 D7">
    <cfRule type="dataBar" priority="48">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85:D179">
    <cfRule type="dataBar" priority="16">
      <dataBar>
        <cfvo type="num" val="0"/>
        <cfvo type="num" val="1"/>
        <color theme="0"/>
      </dataBar>
      <extLst>
        <ext xmlns:x14="http://schemas.microsoft.com/office/spreadsheetml/2009/9/main" uri="{B025F937-C7B1-47D3-B67F-A62EFF666E3E}">
          <x14:id>{091630B6-B077-45C6-824B-5389B551C7A7}</x14:id>
        </ext>
      </extLst>
    </cfRule>
  </conditionalFormatting>
  <conditionalFormatting sqref="G27:H37">
    <cfRule type="expression" dxfId="20" priority="11">
      <formula>AND(task_start&lt;=I$5, task_start+ROUNDDOWN((task_end-task_start+1)*task_progress,0)-1&gt;=I$5)</formula>
    </cfRule>
  </conditionalFormatting>
  <conditionalFormatting sqref="I20:AI26">
    <cfRule type="expression" dxfId="19" priority="12">
      <formula>AND(task_start&lt;=I$5, task_start+ROUNDDOWN((task_end-task_start+1)*task_progress,0)-1&gt;=I$5)</formula>
    </cfRule>
  </conditionalFormatting>
  <conditionalFormatting sqref="I9:BL18 I19:R19 AI19:BL19 AJ20:BL20">
    <cfRule type="expression" dxfId="18" priority="32" stopIfTrue="1">
      <formula>AND(task_end&gt;=I$5,task_start&lt;J$5)</formula>
    </cfRule>
  </conditionalFormatting>
  <conditionalFormatting sqref="I27:BP37">
    <cfRule type="expression" dxfId="17" priority="10">
      <formula>AND(task_start&lt;=I$5, task_start+ROUNDDOWN((task_end-task_start+1)*task_progress,0)-1&gt;=I$5)</formula>
    </cfRule>
  </conditionalFormatting>
  <conditionalFormatting sqref="I76:BQ81">
    <cfRule type="expression" dxfId="16" priority="5">
      <formula>AND(task_start&lt;=I$5, task_start+ROUNDDOWN((task_end-task_start+1)*task_progress,0)-1&gt;=I$5)</formula>
    </cfRule>
  </conditionalFormatting>
  <conditionalFormatting sqref="I4:BS18 BT9:HX38 AI19:BS19 AJ20:BS26 CP39:HX44 BT4:IE6 I19:R19 BQ27:BS37 I38:BS38 I45:HX45 BY46:IQ57 I58:IQ58 CZ59:IQ74 I75:IQ75 BR76:IQ81 I82:IQ82 I83:S83 U83:IQ83 I84:AH84 AJ84:IQ84 GG85:IQ89 GH90:GH102 GJ90:GJ102 GL90:GL102 GN90:GN102 GP90:GP102 GR90:GR102 GT90:GT102 GV90:GV126 GX90:GX126 GZ90:GZ126 HB90:HB126 HD90:HD126 HF90:HF126 HH90:HH126 HJ90:HJ126 HL90:HL126 HN90:HN126 HP90:HP126 HR90:HR126 HT90:HT126 HV90:HV126 HX90:HX126 HZ90:HZ126 IB90:IB126 ID90:ID126 IF90:IF126 IH90:IH126 IJ90:IJ126 IL90:IL126 IN90:IN126 IP90:IP126 IR90:IR126 I102:FV102 FX102 FZ102 GB102 GD102 GF102 I124:EY126 FL124:FV126 FX124:FX126 FZ124:FZ126 GB124:GB126 GD124:GD126 GF124:GF126 GH124:GH126 GJ124:GJ126 GL124:GL126 GN124:GN126 GP124:GP126 GR124:GR126 GT124:GT126 I127:I179 J128:IL158 J159:ID179">
    <cfRule type="expression" dxfId="15" priority="26">
      <formula>AND(TODAY()&gt;=I$5, TODAY()&lt;J$5)</formula>
    </cfRule>
  </conditionalFormatting>
  <conditionalFormatting sqref="I46:BX57">
    <cfRule type="expression" dxfId="14" priority="7">
      <formula>AND(task_start&lt;=I$5, task_start+ROUNDDOWN((task_end-task_start+1)*task_progress,0)-1&gt;=I$5)</formula>
    </cfRule>
  </conditionalFormatting>
  <conditionalFormatting sqref="I39:CO44">
    <cfRule type="expression" dxfId="13" priority="8">
      <formula>AND(task_start&lt;=I$5, task_start+ROUNDDOWN((task_end-task_start+1)*task_progress,0)-1&gt;=I$5)</formula>
    </cfRule>
    <cfRule type="expression" priority="9">
      <formula>AND(task_start&lt;=I$5, task_start+ROUNDDOWN((task_end-task_start+1)*task_progress,0)-1&gt;=I$5)</formula>
    </cfRule>
  </conditionalFormatting>
  <conditionalFormatting sqref="I59:CY74">
    <cfRule type="expression" dxfId="12" priority="6">
      <formula>AND(task_start&lt;=I$5, task_start+ROUNDDOWN((task_end-task_start+1)*task_progress,0)-1&gt;=I$5)</formula>
    </cfRule>
  </conditionalFormatting>
  <conditionalFormatting sqref="I85:GF101">
    <cfRule type="expression" dxfId="11" priority="4">
      <formula>AND(task_start&lt;=I$5, task_start+ROUNDDOWN((task_end-task_start+1)*task_progress,0)-1&gt;=I$5)</formula>
    </cfRule>
  </conditionalFormatting>
  <conditionalFormatting sqref="I103:GT123">
    <cfRule type="expression" dxfId="10" priority="3">
      <formula>AND(task_start&lt;=I$5, task_start+ROUNDDOWN((task_end-task_start+1)*task_progress,0)-1&gt;=I$5)</formula>
    </cfRule>
  </conditionalFormatting>
  <conditionalFormatting sqref="I180:ID196">
    <cfRule type="expression" dxfId="9" priority="1">
      <formula>AND(task_start&lt;=I$5,ROUNDDOWN((task_end-task_start+1)*task_progress,0)+task_start-1&gt;=I$5)</formula>
    </cfRule>
  </conditionalFormatting>
  <conditionalFormatting sqref="S19:AI19">
    <cfRule type="expression" dxfId="8" priority="13">
      <formula>AND(task_start&lt;=I$5, task_start+ROUNDDOWN((task_end-task_start+1)*task_progress,0)-1&gt;=I$5)</formula>
    </cfRule>
    <cfRule type="expression" priority="14">
      <formula>AND(task_start&lt;=I$5, task_start+ROUNDDOWN((task_end-task_start+1)*task_progress,0)-1&gt;=I$5)</formula>
    </cfRule>
  </conditionalFormatting>
  <conditionalFormatting sqref="AI19:HX19 I9:HX18 I19:R19 AJ20:HX20">
    <cfRule type="expression" dxfId="7" priority="22">
      <formula>AND(task_start&lt;=I$5,ROUNDDOWN((task_end-task_start+1)*task_progress,0)+task_start-1&gt;=I$5)</formula>
    </cfRule>
  </conditionalFormatting>
  <conditionalFormatting sqref="AJ22:HX26 BQ27:HX37">
    <cfRule type="expression" dxfId="6" priority="29">
      <formula>AND(task_start&lt;=AJ$5,ROUNDDOWN((task_end-task_start+1)*task_progress,0)+task_start-1&gt;=AJ$5)</formula>
    </cfRule>
    <cfRule type="expression" dxfId="5" priority="30" stopIfTrue="1">
      <formula>AND(task_end&gt;=AJ$5,task_start&lt;AK$5)</formula>
    </cfRule>
  </conditionalFormatting>
  <conditionalFormatting sqref="BM9:HX20">
    <cfRule type="expression" dxfId="4" priority="23" stopIfTrue="1">
      <formula>AND(task_end&gt;=BM$5,task_start&lt;BN$5)</formula>
    </cfRule>
  </conditionalFormatting>
  <conditionalFormatting sqref="BY46:IQ57 I58:IQ58 CZ59:IQ74 I75:IQ75 BR76:IQ81 I82:IQ82 I83:S83 U83:IQ83 I84:AH84 AJ84:IQ84 GG85:IQ89 GH90:GH102 GJ90:GJ102 GL90:GL102 GN90:GN102 GP90:GP102 GR90:GR102 GT90:GT102 GV90:GV126 GX90:GX126 GZ90:GZ126 HB90:HB126 HD90:HD126 HF90:HF126 HH90:HH126 HJ90:HJ126 HL90:HL126 HN90:HN126 HP90:HP126 HR90:HR126 HT90:HT126 HV90:HV126 HX90:HX126 HZ90:HZ126 IB90:IB126 ID90:ID126 IF90:IF126 IH90:IH126 IJ90:IJ126 IL90:IL126 IN90:IN126 IP90:IP126 IR90:IR126 I102:FV102 FX102 FZ102 GB102 GD102 GF102 I124:EY126 FL124:FV126 FX124:FX126 FZ124:FZ126 GB124:GB126 GD124:GD126 GF124:GF126 GH124:GH126 GJ124:GJ126 GL124:GL126 GN124:GN126 GP124:GP126 GR124:GR126 GT124:GT126 I127:I179 J128:IL158 J159:ID179">
    <cfRule type="expression" dxfId="3" priority="61">
      <formula>AND(task_start&lt;=I$5,ROUNDDOWN((task_end-task_start+1)*task_progress,0)+task_start-1&gt;=I$5)</formula>
    </cfRule>
    <cfRule type="expression" dxfId="2" priority="62" stopIfTrue="1">
      <formula>AND(task_end&gt;=I$5,task_start&lt;J$5)</formula>
    </cfRule>
  </conditionalFormatting>
  <conditionalFormatting sqref="CP39:HX44">
    <cfRule type="expression" dxfId="1" priority="18">
      <formula>AND(task_start&lt;=CP$5,ROUNDDOWN((task_end-task_start+1)*task_progress,0)+task_start-1&gt;=CP$5)</formula>
    </cfRule>
    <cfRule type="expression" dxfId="0" priority="19" stopIfTrue="1">
      <formula>AND(task_end&gt;=CP$5,task_start&lt;CQ$5)</formula>
    </cfRule>
  </conditionalFormatting>
  <dataValidations count="14">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1" xr:uid="{4F48FC41-E335-47F1-87AA-3333A52AD81C}"/>
    <dataValidation allowBlank="1" showInputMessage="1" showErrorMessage="1" prompt="Phase 3's sample block starts in cell B20." sqref="A38" xr:uid="{956902D1-D3B5-416D-BB69-9362D193BC0A}"/>
    <dataValidation allowBlank="1" showInputMessage="1" showErrorMessage="1" prompt="Phase 4's sample block starts in cell B26." sqref="A4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9" xr:uid="{79B9237E-4DD3-4E0F-8ED6-E0B695A99D96}"/>
    <dataValidation type="list" allowBlank="1" showInputMessage="1" showErrorMessage="1" sqref="C9:C44" xr:uid="{DE74172B-A090-4690-801D-70E4532AA817}">
      <formula1>$B$52:$B$54</formula1>
    </dataValidation>
  </dataValidations>
  <hyperlinks>
    <hyperlink ref="B4" r:id="rId1" xr:uid="{00000000-0004-0000-0000-000000000000}"/>
    <hyperlink ref="B3" r:id="rId2" display="SIMPLE GANTT CHART by Vertex42.com"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732D3D87-078C-4ADC-8A0B-9A8F94271157}">
            <x14:dataBar minLength="0" maxLength="100" gradient="0">
              <x14:cfvo type="num">
                <xm:f>0</xm:f>
              </x14:cfvo>
              <x14:cfvo type="num">
                <xm:f>1</xm:f>
              </x14:cfvo>
              <x14:negativeFillColor rgb="FFFF0000"/>
              <x14:axisColor rgb="FF000000"/>
            </x14:dataBar>
          </x14:cfRule>
          <xm:sqref>D8:D44 D180:D196</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D45:D84 D7</xm:sqref>
        </x14:conditionalFormatting>
        <x14:conditionalFormatting xmlns:xm="http://schemas.microsoft.com/office/excel/2006/main">
          <x14:cfRule type="dataBar" id="{091630B6-B077-45C6-824B-5389B551C7A7}">
            <x14:dataBar minLength="0" maxLength="100" gradient="0">
              <x14:cfvo type="num">
                <xm:f>0</xm:f>
              </x14:cfvo>
              <x14:cfvo type="num">
                <xm:f>1</xm:f>
              </x14:cfvo>
              <x14:negativeFillColor rgb="FFFF0000"/>
              <x14:axisColor rgb="FF000000"/>
            </x14:dataBar>
          </x14:cfRule>
          <xm:sqref>D85:D179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81" t="s">
        <v>7</v>
      </c>
      <c r="B2" s="7"/>
    </row>
    <row r="3" spans="1:2" s="10" customFormat="1" ht="27" customHeight="1" x14ac:dyDescent="0.2">
      <c r="A3" s="82"/>
      <c r="B3" s="11"/>
    </row>
    <row r="4" spans="1:2" s="9" customFormat="1" ht="31.5" x14ac:dyDescent="0.6">
      <c r="A4" s="83" t="s">
        <v>6</v>
      </c>
    </row>
    <row r="5" spans="1:2" ht="74.25" customHeight="1" x14ac:dyDescent="0.2">
      <c r="A5" s="84" t="s">
        <v>14</v>
      </c>
    </row>
    <row r="6" spans="1:2" ht="26.25" customHeight="1" x14ac:dyDescent="0.2">
      <c r="A6" s="83" t="s">
        <v>17</v>
      </c>
    </row>
    <row r="7" spans="1:2" s="6" customFormat="1" ht="205.15" customHeight="1" x14ac:dyDescent="0.2">
      <c r="A7" s="85" t="s">
        <v>16</v>
      </c>
    </row>
    <row r="8" spans="1:2" s="9" customFormat="1" ht="31.5" x14ac:dyDescent="0.6">
      <c r="A8" s="83" t="s">
        <v>8</v>
      </c>
    </row>
    <row r="9" spans="1:2" ht="57" x14ac:dyDescent="0.2">
      <c r="A9" s="84" t="s">
        <v>15</v>
      </c>
    </row>
    <row r="10" spans="1:2" s="6" customFormat="1" ht="28.15" customHeight="1" x14ac:dyDescent="0.2">
      <c r="A10" s="86" t="s">
        <v>13</v>
      </c>
    </row>
    <row r="11" spans="1:2" s="9" customFormat="1" ht="31.5" x14ac:dyDescent="0.6">
      <c r="A11" s="83" t="s">
        <v>5</v>
      </c>
    </row>
    <row r="12" spans="1:2" ht="28.5" x14ac:dyDescent="0.2">
      <c r="A12" s="84" t="s">
        <v>12</v>
      </c>
    </row>
    <row r="13" spans="1:2" s="6" customFormat="1" ht="28.15" customHeight="1" x14ac:dyDescent="0.2">
      <c r="A13" s="86" t="s">
        <v>1</v>
      </c>
    </row>
    <row r="14" spans="1:2" s="9" customFormat="1" ht="31.5" x14ac:dyDescent="0.6">
      <c r="A14" s="83" t="s">
        <v>9</v>
      </c>
    </row>
    <row r="15" spans="1:2" ht="75" customHeight="1" x14ac:dyDescent="0.2">
      <c r="A15" s="84" t="s">
        <v>10</v>
      </c>
    </row>
    <row r="16" spans="1:2" ht="71.25" x14ac:dyDescent="0.2">
      <c r="A16" s="84" t="s">
        <v>11</v>
      </c>
    </row>
    <row r="17" spans="1:1" x14ac:dyDescent="0.2">
      <c r="A17" s="87"/>
    </row>
    <row r="18" spans="1:1" x14ac:dyDescent="0.2">
      <c r="A18" s="87"/>
    </row>
    <row r="19" spans="1:1" x14ac:dyDescent="0.2">
      <c r="A19" s="87"/>
    </row>
    <row r="20" spans="1:1" x14ac:dyDescent="0.2">
      <c r="A20" s="87"/>
    </row>
    <row r="21" spans="1:1" x14ac:dyDescent="0.2">
      <c r="A21" s="87"/>
    </row>
    <row r="22" spans="1:1" x14ac:dyDescent="0.2">
      <c r="A22" s="87"/>
    </row>
    <row r="23" spans="1:1" x14ac:dyDescent="0.2">
      <c r="A23" s="87"/>
    </row>
    <row r="24" spans="1:1" x14ac:dyDescent="0.2">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Jasmine Wang</dc:creator>
  <dc:description/>
  <cp:lastModifiedBy>Ruidi Liu</cp:lastModifiedBy>
  <dcterms:created xsi:type="dcterms:W3CDTF">2022-03-11T22:41:12Z</dcterms:created>
  <dcterms:modified xsi:type="dcterms:W3CDTF">2026-04-10T21:57:34Z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