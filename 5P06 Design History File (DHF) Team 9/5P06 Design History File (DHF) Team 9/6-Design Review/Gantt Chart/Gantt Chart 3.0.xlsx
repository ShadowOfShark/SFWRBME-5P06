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6-Design Review\"/>
    </mc:Choice>
  </mc:AlternateContent>
  <xr:revisionPtr revIDLastSave="0" documentId="13_ncr:1_{AD77DC35-A8CA-44F3-84B0-2518D5D5E1CC}" xr6:coauthVersionLast="47" xr6:coauthVersionMax="47" xr10:uidLastSave="{00000000-0000-0000-0000-000000000000}"/>
  <bookViews>
    <workbookView xWindow="135" yWindow="450" windowWidth="28770" windowHeight="1545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I5" i="11" s="1"/>
  <c r="F27" i="11"/>
  <c r="E22" i="11"/>
  <c r="F23" i="11"/>
  <c r="F24" i="11" s="1"/>
  <c r="H7" i="11" l="1"/>
  <c r="I4" i="11" l="1"/>
  <c r="H50" i="11"/>
  <c r="H49" i="11"/>
  <c r="H46" i="11"/>
  <c r="H25" i="11"/>
  <c r="H8" i="11"/>
  <c r="I6" i="11" l="1"/>
  <c r="J5" i="11" l="1"/>
  <c r="K5" i="11" s="1"/>
  <c r="L5" i="11" s="1"/>
  <c r="M5" i="11" s="1"/>
  <c r="N5" i="11" s="1"/>
  <c r="O5" i="11" s="1"/>
  <c r="P5" i="11" s="1"/>
  <c r="P4" i="11" l="1"/>
  <c r="Q5" i="11"/>
  <c r="R5" i="11" s="1"/>
  <c r="S5" i="11" s="1"/>
  <c r="T5" i="11" s="1"/>
  <c r="U5" i="11" s="1"/>
  <c r="V5" i="11" s="1"/>
  <c r="W5" i="11" s="1"/>
  <c r="J6" i="11"/>
  <c r="E44" i="11" l="1"/>
  <c r="E45" i="11" s="1"/>
  <c r="W4" i="11"/>
  <c r="X5" i="11"/>
  <c r="Y5" i="11" s="1"/>
  <c r="Z5" i="11" s="1"/>
  <c r="AA5" i="11" s="1"/>
  <c r="AB5" i="11" s="1"/>
  <c r="AC5" i="11" s="1"/>
  <c r="AD5" i="11" s="1"/>
  <c r="K6" i="11"/>
  <c r="E43" i="11" l="1"/>
  <c r="F43" i="11" s="1"/>
  <c r="E30" i="11"/>
  <c r="F30" i="11" s="1"/>
  <c r="E31" i="11"/>
  <c r="E28" i="11"/>
  <c r="F28" i="11" s="1"/>
  <c r="F48" i="11"/>
  <c r="H48" i="11" s="1"/>
  <c r="H47" i="11"/>
  <c r="AE5" i="11"/>
  <c r="AF5" i="11" s="1"/>
  <c r="AG5" i="11" s="1"/>
  <c r="AH5" i="11" s="1"/>
  <c r="AI5" i="11" s="1"/>
  <c r="AJ5" i="11" s="1"/>
  <c r="AD4" i="11"/>
  <c r="L6" i="11"/>
  <c r="E32" i="11" l="1"/>
  <c r="F32" i="11" s="1"/>
  <c r="F31" i="11"/>
  <c r="H28" i="11"/>
  <c r="E33" i="11"/>
  <c r="AK5" i="11"/>
  <c r="AL5" i="11" s="1"/>
  <c r="AM5" i="11" s="1"/>
  <c r="AN5" i="11" s="1"/>
  <c r="AO5" i="11" s="1"/>
  <c r="AP5" i="11" s="1"/>
  <c r="AQ5" i="11" s="1"/>
  <c r="M6" i="11"/>
  <c r="F33" i="11" l="1"/>
  <c r="F35" i="11" s="1"/>
  <c r="E36" i="11" s="1"/>
  <c r="F36" i="11" s="1"/>
  <c r="E37" i="11" s="1"/>
  <c r="F37" i="11" s="1"/>
  <c r="E39" i="11" s="1"/>
  <c r="E40" i="11" s="1"/>
  <c r="H30" i="11"/>
  <c r="AR5" i="11"/>
  <c r="AR4" i="11" s="1"/>
  <c r="AK4" i="11"/>
  <c r="N6" i="11"/>
  <c r="E38" i="11" l="1"/>
  <c r="F38" i="11" s="1"/>
  <c r="F39" i="11"/>
  <c r="F40" i="11" s="1"/>
  <c r="H33" i="11"/>
  <c r="AS5" i="11"/>
  <c r="AS6" i="11" s="1"/>
  <c r="O6" i="11"/>
  <c r="E41" i="11" l="1"/>
  <c r="F41" i="11" s="1"/>
  <c r="AT5" i="11"/>
  <c r="AU5" i="11" s="1"/>
  <c r="E42" i="11" l="1"/>
  <c r="F42" i="11"/>
  <c r="AT6" i="11"/>
  <c r="AV5" i="11"/>
  <c r="AU6" i="11"/>
  <c r="P6" i="11"/>
  <c r="Q6" i="11"/>
  <c r="AW5" i="11" l="1"/>
  <c r="AV6" i="11"/>
  <c r="R6" i="11"/>
  <c r="AX5" i="11" l="1"/>
  <c r="AY5" i="11" s="1"/>
  <c r="AW6" i="11"/>
  <c r="S6" i="11"/>
  <c r="AY4" i="11" l="1"/>
  <c r="AY6" i="11"/>
  <c r="AZ5" i="11"/>
  <c r="AX6" i="11"/>
  <c r="T6" i="11"/>
  <c r="F26" i="11" l="1"/>
  <c r="BA5" i="1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BS6" i="11" s="1"/>
  <c r="AL6" i="11"/>
  <c r="AM6" i="11" l="1"/>
  <c r="AN6" i="11" l="1"/>
  <c r="AO6" i="11" l="1"/>
  <c r="AP6" i="11" l="1"/>
  <c r="AQ6" i="11" l="1"/>
  <c r="AR6" i="11" l="1"/>
  <c r="H36" i="11" l="1"/>
  <c r="E10" i="11"/>
  <c r="E12" i="11" l="1"/>
  <c r="F12" i="11" s="1"/>
  <c r="E13" i="11" s="1"/>
  <c r="F13" i="11" s="1"/>
  <c r="F10" i="11"/>
  <c r="E11" i="11" s="1"/>
  <c r="F11" i="11" s="1"/>
  <c r="H10" i="11"/>
  <c r="H9" i="11"/>
  <c r="E15" i="11" l="1"/>
  <c r="E14" i="11"/>
  <c r="F14" i="11" s="1"/>
  <c r="F15" i="11" s="1"/>
  <c r="H11" i="11"/>
  <c r="H12" i="11" l="1"/>
  <c r="H14" i="11" l="1"/>
  <c r="E16" i="11"/>
  <c r="F16" i="11" s="1"/>
  <c r="H15" i="11"/>
  <c r="H16" i="11" l="1"/>
  <c r="E17" i="11"/>
  <c r="F17" i="11" l="1"/>
  <c r="F22" i="11"/>
  <c r="E24" i="11" l="1"/>
  <c r="F44" i="11"/>
  <c r="F45" i="11"/>
  <c r="H45" i="11" s="1"/>
</calcChain>
</file>

<file path=xl/sharedStrings.xml><?xml version="1.0" encoding="utf-8"?>
<sst xmlns="http://schemas.openxmlformats.org/spreadsheetml/2006/main" count="106" uniqueCount="74">
  <si>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</si>
  <si>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</si>
  <si>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</si>
  <si>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</si>
  <si>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</si>
  <si>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</si>
  <si>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</si>
  <si>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</si>
  <si>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</si>
  <si>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</si>
  <si>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</si>
  <si>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</si>
  <si>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</si>
  <si>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</si>
  <si>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</si>
  <si>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</si>
  <si>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</si>
  <si>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</si>
  <si>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</si>
  <si>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</si>
  <si>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</si>
  <si>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</si>
  <si>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</si>
  <si>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</si>
  <si>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</si>
  <si>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</si>
  <si>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</si>
  <si>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</si>
  <si>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Summary</t>
  </si>
  <si>
    <t>Formatting</t>
  </si>
  <si>
    <t>References</t>
  </si>
  <si>
    <t>Final Review</t>
  </si>
  <si>
    <t>Proof Of Concept</t>
  </si>
  <si>
    <t>Environmental Setup</t>
  </si>
  <si>
    <t>Model 1 Development</t>
  </si>
  <si>
    <t>Model 2 Development</t>
  </si>
  <si>
    <t>Model 1 Refinement</t>
  </si>
  <si>
    <t>Model 2 Refinemennt</t>
  </si>
  <si>
    <t>Model 2 Testing</t>
  </si>
  <si>
    <t>Model 1 Testing</t>
  </si>
  <si>
    <t xml:space="preserve">Descision Tree </t>
  </si>
  <si>
    <t>Jasmine Wang</t>
  </si>
  <si>
    <t>Both</t>
  </si>
  <si>
    <t xml:space="preserve">Questionnaire </t>
  </si>
  <si>
    <t>Ruidi Liu</t>
  </si>
  <si>
    <t>Discussion</t>
  </si>
  <si>
    <t>Diagnostic Criteria Research</t>
  </si>
  <si>
    <t>Meetings</t>
  </si>
  <si>
    <t>Jasmine</t>
  </si>
  <si>
    <t>Meeting Minutes</t>
  </si>
  <si>
    <t>Instructor Meeting Arrange</t>
  </si>
  <si>
    <t xml:space="preserve">Instructor Meeting </t>
  </si>
  <si>
    <t>3.2 Backend Draft</t>
  </si>
  <si>
    <t>3.1  Frontend Research</t>
  </si>
  <si>
    <t>3.2  Frontend Research</t>
  </si>
  <si>
    <t>3.1 Backend Research</t>
  </si>
  <si>
    <t>3.2 Backend Research</t>
  </si>
  <si>
    <t>Chapter 3</t>
  </si>
  <si>
    <t>3.2 Frontend Draft</t>
  </si>
  <si>
    <t>3.1 Frontend Draft</t>
  </si>
  <si>
    <t xml:space="preserve">3.1 Backend Draft </t>
  </si>
  <si>
    <t>Paper Prototype</t>
  </si>
  <si>
    <t>Interview Survey</t>
  </si>
  <si>
    <t>Interactive Figma model</t>
  </si>
  <si>
    <t>Story Board Design</t>
  </si>
  <si>
    <t>Design Elements Review</t>
  </si>
  <si>
    <t xml:space="preserve">Both </t>
  </si>
  <si>
    <t>3.1 Rewrite</t>
  </si>
  <si>
    <t>3.2 DO1-6 Rewrite</t>
  </si>
  <si>
    <t>Overall Architecture Verification</t>
  </si>
  <si>
    <t>Client Side Architecture Verification</t>
  </si>
  <si>
    <t>4HC3 Notes Review</t>
  </si>
  <si>
    <t>WireFrame Brainstorm</t>
  </si>
  <si>
    <t>1-26-26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</si>
</sst>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21" fillId="10" borderId="18" xfId="0" applyNumberFormat="1" applyFont="1" applyFill="1" applyBorder="1" applyAlignment="1">
      <alignment horizontal="center" vertical="center"/>
    </xf>
    <xf numFmtId="168" fontId="21" fillId="10" borderId="16" xfId="0" applyNumberFormat="1" applyFont="1" applyFill="1" applyBorder="1" applyAlignment="1">
      <alignment horizontal="center" vertical="center"/>
    </xf>
    <xf numFmtId="168"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5" fontId="19" fillId="5" borderId="0" xfId="0" applyNumberFormat="1" applyFont="1" applyFill="1" applyAlignment="1">
      <alignment horizontal="center" vertical="center"/>
    </xf>
    <xf numFmtId="165"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165" fontId="19" fillId="4" borderId="5" xfId="10" applyFont="1" applyFill="1" applyBorder="1">
      <alignment horizontal="center"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4" fillId="0" borderId="9" xfId="0" applyFont="1" applyBorder="1" applyAlignment="1">
      <alignment vertical="center"/>
    </xf>
    <xf numFmtId="0" fontId="19" fillId="8" borderId="8" xfId="12" applyFont="1" applyFill="1" applyBorder="1">
      <alignment horizontal="left" vertical="center" indent="2"/>
    </xf>
    <xf numFmtId="0" fontId="19" fillId="8" borderId="8" xfId="11" applyFont="1" applyFill="1" applyBorder="1" applyAlignment="1">
      <alignment vertical="center"/>
    </xf>
    <xf numFmtId="165" fontId="19" fillId="8" borderId="8" xfId="10"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2" fillId="0" borderId="0" xfId="1" applyAlignment="1" applyProtection="1">
      <alignment horizontal="left" vertical="top" indent="1"/>
    </xf>
    <xf numFmtId="0" fontId="13" fillId="0" borderId="0" xfId="3"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4" fillId="2" borderId="19" xfId="0" applyFont="1" applyFill="1" applyBorder="1"/>
    <xf numFmtId="0" fontId="20" fillId="9" borderId="14"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1" xfId="0" applyNumberFormat="1" applyFont="1" applyFill="1" applyBorder="1" applyAlignment="1">
      <alignment horizontal="center" vertical="center" wrapText="1"/>
    </xf>
    <xf numFmtId="167" fontId="19" fillId="2" borderId="17" xfId="0" applyNumberFormat="1" applyFont="1" applyFill="1" applyBorder="1" applyAlignment="1">
      <alignment horizontal="center" vertical="center" wrapText="1"/>
    </xf>
    <xf numFmtId="167" fontId="19" fillId="2" borderId="16"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7">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53"/>
  <sheetViews>
    <sheetView showGridLines="0" tabSelected="1" showRuler="0" topLeftCell="A2" zoomScale="85" zoomScaleNormal="85" zoomScalePageLayoutView="70" workbookViewId="0">
      <selection activeCell="Q3" sqref="Q3"/>
    </sheetView>
  </sheetViews>
  <sheetFormatPr defaultColWidth="8.75" defaultRowHeight="30" customHeight="1" x14ac:dyDescent="0.2"/>
  <cols>
    <col min="1" max="1" width="2.75" style="13" customWidth="1"/>
    <col min="2" max="2" width="29.875" customWidth="1"/>
    <col min="3" max="3" width="16.75" customWidth="1"/>
    <col min="4" max="4" width="10.75" customWidth="1"/>
    <col min="5" max="5" width="10.75" style="2" customWidth="1"/>
    <col min="6" max="6" width="10.75" customWidth="1"/>
    <col min="7" max="7" width="2.75" customWidth="1"/>
    <col min="8" max="8" width="6" hidden="1" customWidth="1"/>
    <col min="9" max="66" width="2.75" customWidth="1"/>
    <col min="67" max="67" width="2.875" customWidth="1"/>
    <col min="68" max="68" width="2.25" customWidth="1"/>
    <col min="69" max="69" width="2.5" customWidth="1"/>
    <col min="70" max="70" width="2.875" customWidth="1"/>
    <col min="71" max="71" width="2" customWidth="1"/>
  </cols>
  <sheetData>
    <row r="1" spans="1:71" ht="90" customHeight="1" x14ac:dyDescent="0.65">
      <c r="A1" s="14"/>
      <c r="B1" s="88" t="s">
        <v>23</v>
      </c>
      <c r="C1" s="18"/>
      <c r="D1" s="19"/>
      <c r="E1" s="20"/>
      <c r="F1" s="21"/>
      <c r="H1" s="1"/>
      <c r="I1" s="99" t="s">
        <v>20</v>
      </c>
      <c r="J1" s="100"/>
      <c r="K1" s="100"/>
      <c r="L1" s="100"/>
      <c r="M1" s="100"/>
      <c r="N1" s="100"/>
      <c r="O1" s="100"/>
      <c r="P1" s="24"/>
      <c r="Q1" s="98">
        <f ca="1">TODAY()-93</f>
        <v>46029</v>
      </c>
      <c r="R1" s="97"/>
      <c r="S1" s="97"/>
      <c r="T1" s="97"/>
      <c r="U1" s="97"/>
      <c r="V1" s="97"/>
      <c r="W1" s="97"/>
      <c r="X1" s="97"/>
      <c r="Y1" s="97"/>
      <c r="Z1" s="97"/>
    </row>
    <row r="2" spans="1:71" ht="30" customHeight="1" x14ac:dyDescent="0.5">
      <c r="B2" s="79" t="s">
        <v>24</v>
      </c>
      <c r="C2" s="80" t="s">
        <v>25</v>
      </c>
      <c r="D2" s="22"/>
      <c r="E2" s="23"/>
      <c r="F2" s="22"/>
      <c r="I2" s="99" t="s">
        <v>21</v>
      </c>
      <c r="J2" s="100"/>
      <c r="K2" s="100"/>
      <c r="L2" s="100"/>
      <c r="M2" s="100"/>
      <c r="N2" s="100"/>
      <c r="O2" s="100"/>
      <c r="P2" s="24"/>
      <c r="Q2" s="96">
        <v>1</v>
      </c>
      <c r="R2" s="97"/>
      <c r="S2" s="97"/>
      <c r="T2" s="97"/>
      <c r="U2" s="97"/>
      <c r="V2" s="97"/>
      <c r="W2" s="97"/>
      <c r="X2" s="97"/>
      <c r="Y2" s="97"/>
      <c r="Z2" s="97"/>
    </row>
    <row r="3" spans="1:71" s="26" customFormat="1" ht="30" customHeight="1" x14ac:dyDescent="0.25">
      <c r="A3" s="13"/>
      <c r="B3" s="25" t="s">
        <v>26</v>
      </c>
      <c r="D3" s="27"/>
      <c r="E3" s="28"/>
    </row>
    <row r="4" spans="1:71" s="26" customFormat="1" ht="30" customHeight="1" x14ac:dyDescent="0.2">
      <c r="A4" s="14"/>
      <c r="B4" s="89" t="s">
        <v>27</v>
      </c>
      <c r="E4" s="29"/>
      <c r="I4" s="103">
        <f ca="1">I5</f>
        <v>46027</v>
      </c>
      <c r="J4" s="101"/>
      <c r="K4" s="101"/>
      <c r="L4" s="101"/>
      <c r="M4" s="101"/>
      <c r="N4" s="101"/>
      <c r="O4" s="101"/>
      <c r="P4" s="101">
        <f ca="1">P5</f>
        <v>46034</v>
      </c>
      <c r="Q4" s="101"/>
      <c r="R4" s="101"/>
      <c r="S4" s="101"/>
      <c r="T4" s="101"/>
      <c r="U4" s="101"/>
      <c r="V4" s="101"/>
      <c r="W4" s="101">
        <f ca="1">W5</f>
        <v>46041</v>
      </c>
      <c r="X4" s="101"/>
      <c r="Y4" s="101"/>
      <c r="Z4" s="101"/>
      <c r="AA4" s="101"/>
      <c r="AB4" s="101"/>
      <c r="AC4" s="101"/>
      <c r="AD4" s="101">
        <f ca="1">AD5</f>
        <v>46048</v>
      </c>
      <c r="AE4" s="101"/>
      <c r="AF4" s="101"/>
      <c r="AG4" s="101"/>
      <c r="AH4" s="101"/>
      <c r="AI4" s="101"/>
      <c r="AJ4" s="101"/>
      <c r="AK4" s="101">
        <f ca="1">AK5</f>
        <v>46055</v>
      </c>
      <c r="AL4" s="101"/>
      <c r="AM4" s="101"/>
      <c r="AN4" s="101"/>
      <c r="AO4" s="101"/>
      <c r="AP4" s="101"/>
      <c r="AQ4" s="101"/>
      <c r="AR4" s="101">
        <f ca="1">AR5</f>
        <v>46062</v>
      </c>
      <c r="AS4" s="101"/>
      <c r="AT4" s="101"/>
      <c r="AU4" s="101"/>
      <c r="AV4" s="101"/>
      <c r="AW4" s="101"/>
      <c r="AX4" s="101"/>
      <c r="AY4" s="101">
        <f ca="1">AY5</f>
        <v>46069</v>
      </c>
      <c r="AZ4" s="101"/>
      <c r="BA4" s="101"/>
      <c r="BB4" s="101"/>
      <c r="BC4" s="101"/>
      <c r="BD4" s="101"/>
      <c r="BE4" s="101"/>
      <c r="BF4" s="101">
        <f ca="1">BF5</f>
        <v>46076</v>
      </c>
      <c r="BG4" s="101"/>
      <c r="BH4" s="101"/>
      <c r="BI4" s="101"/>
      <c r="BJ4" s="101"/>
      <c r="BK4" s="101"/>
      <c r="BL4" s="102"/>
      <c r="BM4" s="101">
        <f ca="1">BM5</f>
        <v>46083</v>
      </c>
      <c r="BN4" s="101"/>
      <c r="BO4" s="101"/>
      <c r="BP4" s="101"/>
      <c r="BQ4" s="101"/>
      <c r="BR4" s="101"/>
      <c r="BS4" s="102"/>
    </row>
    <row r="5" spans="1:71" s="26" customFormat="1" ht="15" customHeight="1" x14ac:dyDescent="0.2">
      <c r="A5" s="90"/>
      <c r="B5" s="91" t="s">
        <v>5</v>
      </c>
      <c r="C5" s="93" t="s">
        <v>22</v>
      </c>
      <c r="D5" s="95" t="s">
        <v>1</v>
      </c>
      <c r="E5" s="95" t="s">
        <v>3</v>
      </c>
      <c r="F5" s="95" t="s">
        <v>4</v>
      </c>
      <c r="I5" s="30">
        <f ca="1">Project_Start-WEEKDAY(Project_Start,1)+2+7*(Display_Week-1)</f>
        <v>46027</v>
      </c>
      <c r="J5" s="30">
        <f ca="1">I5+1</f>
        <v>46028</v>
      </c>
      <c r="K5" s="30">
        <f t="shared" ref="K5:AX5" ca="1" si="0">J5+1</f>
        <v>46029</v>
      </c>
      <c r="L5" s="30">
        <f t="shared" ca="1" si="0"/>
        <v>46030</v>
      </c>
      <c r="M5" s="30">
        <f t="shared" ca="1" si="0"/>
        <v>46031</v>
      </c>
      <c r="N5" s="30">
        <f t="shared" ca="1" si="0"/>
        <v>46032</v>
      </c>
      <c r="O5" s="31">
        <f t="shared" ca="1" si="0"/>
        <v>46033</v>
      </c>
      <c r="P5" s="32">
        <f ca="1">O5+1</f>
        <v>46034</v>
      </c>
      <c r="Q5" s="30">
        <f ca="1">P5+1</f>
        <v>46035</v>
      </c>
      <c r="R5" s="30">
        <f t="shared" ca="1" si="0"/>
        <v>46036</v>
      </c>
      <c r="S5" s="30">
        <f t="shared" ca="1" si="0"/>
        <v>46037</v>
      </c>
      <c r="T5" s="30">
        <f t="shared" ca="1" si="0"/>
        <v>46038</v>
      </c>
      <c r="U5" s="30">
        <f t="shared" ca="1" si="0"/>
        <v>46039</v>
      </c>
      <c r="V5" s="31">
        <f t="shared" ca="1" si="0"/>
        <v>46040</v>
      </c>
      <c r="W5" s="32">
        <f ca="1">V5+1</f>
        <v>46041</v>
      </c>
      <c r="X5" s="30">
        <f ca="1">W5+1</f>
        <v>46042</v>
      </c>
      <c r="Y5" s="30">
        <f t="shared" ca="1" si="0"/>
        <v>46043</v>
      </c>
      <c r="Z5" s="30">
        <f t="shared" ca="1" si="0"/>
        <v>46044</v>
      </c>
      <c r="AA5" s="30">
        <f t="shared" ca="1" si="0"/>
        <v>46045</v>
      </c>
      <c r="AB5" s="30">
        <f t="shared" ca="1" si="0"/>
        <v>46046</v>
      </c>
      <c r="AC5" s="31">
        <f t="shared" ca="1" si="0"/>
        <v>46047</v>
      </c>
      <c r="AD5" s="32">
        <f ca="1">AC5+1</f>
        <v>46048</v>
      </c>
      <c r="AE5" s="30">
        <f ca="1">AD5+1</f>
        <v>46049</v>
      </c>
      <c r="AF5" s="30">
        <f t="shared" ca="1" si="0"/>
        <v>46050</v>
      </c>
      <c r="AG5" s="30">
        <f t="shared" ca="1" si="0"/>
        <v>46051</v>
      </c>
      <c r="AH5" s="30">
        <f t="shared" ca="1" si="0"/>
        <v>46052</v>
      </c>
      <c r="AI5" s="30">
        <f t="shared" ca="1" si="0"/>
        <v>46053</v>
      </c>
      <c r="AJ5" s="31">
        <f t="shared" ca="1" si="0"/>
        <v>46054</v>
      </c>
      <c r="AK5" s="32">
        <f ca="1">AJ5+1</f>
        <v>46055</v>
      </c>
      <c r="AL5" s="30">
        <f ca="1">AK5+1</f>
        <v>46056</v>
      </c>
      <c r="AM5" s="30">
        <f t="shared" ca="1" si="0"/>
        <v>46057</v>
      </c>
      <c r="AN5" s="30">
        <f t="shared" ca="1" si="0"/>
        <v>46058</v>
      </c>
      <c r="AO5" s="30">
        <f t="shared" ca="1" si="0"/>
        <v>46059</v>
      </c>
      <c r="AP5" s="30">
        <f t="shared" ca="1" si="0"/>
        <v>46060</v>
      </c>
      <c r="AQ5" s="31">
        <f t="shared" ca="1" si="0"/>
        <v>46061</v>
      </c>
      <c r="AR5" s="32">
        <f ca="1">AQ5+1</f>
        <v>46062</v>
      </c>
      <c r="AS5" s="30">
        <f ca="1">AR5+1</f>
        <v>46063</v>
      </c>
      <c r="AT5" s="30">
        <f t="shared" ca="1" si="0"/>
        <v>46064</v>
      </c>
      <c r="AU5" s="30">
        <f t="shared" ca="1" si="0"/>
        <v>46065</v>
      </c>
      <c r="AV5" s="30">
        <f t="shared" ca="1" si="0"/>
        <v>46066</v>
      </c>
      <c r="AW5" s="30">
        <f t="shared" ca="1" si="0"/>
        <v>46067</v>
      </c>
      <c r="AX5" s="31">
        <f t="shared" ca="1" si="0"/>
        <v>46068</v>
      </c>
      <c r="AY5" s="32">
        <f ca="1">AX5+1</f>
        <v>46069</v>
      </c>
      <c r="AZ5" s="30">
        <f ca="1">AY5+1</f>
        <v>46070</v>
      </c>
      <c r="BA5" s="30">
        <f t="shared" ref="BA5:BE5" ca="1" si="1">AZ5+1</f>
        <v>46071</v>
      </c>
      <c r="BB5" s="30">
        <f t="shared" ca="1" si="1"/>
        <v>46072</v>
      </c>
      <c r="BC5" s="30">
        <f t="shared" ca="1" si="1"/>
        <v>46073</v>
      </c>
      <c r="BD5" s="30">
        <f t="shared" ca="1" si="1"/>
        <v>46074</v>
      </c>
      <c r="BE5" s="31">
        <f t="shared" ca="1" si="1"/>
        <v>46075</v>
      </c>
      <c r="BF5" s="32">
        <f ca="1">BE5+1</f>
        <v>46076</v>
      </c>
      <c r="BG5" s="30">
        <f ca="1">BF5+1</f>
        <v>46077</v>
      </c>
      <c r="BH5" s="30">
        <f t="shared" ref="BH5:BL5" ca="1" si="2">BG5+1</f>
        <v>46078</v>
      </c>
      <c r="BI5" s="30">
        <f t="shared" ca="1" si="2"/>
        <v>46079</v>
      </c>
      <c r="BJ5" s="30">
        <f t="shared" ca="1" si="2"/>
        <v>46080</v>
      </c>
      <c r="BK5" s="30">
        <f t="shared" ca="1" si="2"/>
        <v>46081</v>
      </c>
      <c r="BL5" s="30">
        <f t="shared" ca="1" si="2"/>
        <v>46082</v>
      </c>
      <c r="BM5" s="32">
        <f ca="1">BL5+1</f>
        <v>46083</v>
      </c>
      <c r="BN5" s="30">
        <f ca="1">BM5+1</f>
        <v>46084</v>
      </c>
      <c r="BO5" s="30">
        <f t="shared" ref="BO5" ca="1" si="3">BN5+1</f>
        <v>46085</v>
      </c>
      <c r="BP5" s="30">
        <f t="shared" ref="BP5" ca="1" si="4">BO5+1</f>
        <v>46086</v>
      </c>
      <c r="BQ5" s="30">
        <f t="shared" ref="BQ5" ca="1" si="5">BP5+1</f>
        <v>46087</v>
      </c>
      <c r="BR5" s="30">
        <f t="shared" ref="BR5" ca="1" si="6">BQ5+1</f>
        <v>46088</v>
      </c>
      <c r="BS5" s="30">
        <f t="shared" ref="BS5" ca="1" si="7">BR5+1</f>
        <v>46089</v>
      </c>
    </row>
    <row r="6" spans="1:71" s="26" customFormat="1" ht="15" customHeight="1" thickBot="1" x14ac:dyDescent="0.25">
      <c r="A6" s="90"/>
      <c r="B6" s="92"/>
      <c r="C6" s="94"/>
      <c r="D6" s="94"/>
      <c r="E6" s="94"/>
      <c r="F6" s="94"/>
      <c r="I6" s="33" t="str">
        <f t="shared" ref="I6:AN6" ca="1" si="8">LEFT(TEXT(I5,"ddd"),1)</f>
        <v>M</v>
      </c>
      <c r="J6" s="34" t="str">
        <f t="shared" ca="1" si="8"/>
        <v>T</v>
      </c>
      <c r="K6" s="34" t="str">
        <f t="shared" ca="1" si="8"/>
        <v>W</v>
      </c>
      <c r="L6" s="34" t="str">
        <f t="shared" ca="1" si="8"/>
        <v>T</v>
      </c>
      <c r="M6" s="34" t="str">
        <f t="shared" ca="1" si="8"/>
        <v>F</v>
      </c>
      <c r="N6" s="34" t="str">
        <f t="shared" ca="1" si="8"/>
        <v>S</v>
      </c>
      <c r="O6" s="34" t="str">
        <f t="shared" ca="1" si="8"/>
        <v>S</v>
      </c>
      <c r="P6" s="34" t="str">
        <f t="shared" ca="1" si="8"/>
        <v>M</v>
      </c>
      <c r="Q6" s="34" t="str">
        <f t="shared" ca="1" si="8"/>
        <v>T</v>
      </c>
      <c r="R6" s="34" t="str">
        <f t="shared" ca="1" si="8"/>
        <v>W</v>
      </c>
      <c r="S6" s="34" t="str">
        <f t="shared" ca="1" si="8"/>
        <v>T</v>
      </c>
      <c r="T6" s="34" t="str">
        <f t="shared" ca="1" si="8"/>
        <v>F</v>
      </c>
      <c r="U6" s="34" t="str">
        <f t="shared" ca="1" si="8"/>
        <v>S</v>
      </c>
      <c r="V6" s="34" t="str">
        <f t="shared" ca="1" si="8"/>
        <v>S</v>
      </c>
      <c r="W6" s="34" t="str">
        <f t="shared" ca="1" si="8"/>
        <v>M</v>
      </c>
      <c r="X6" s="34" t="str">
        <f t="shared" ca="1" si="8"/>
        <v>T</v>
      </c>
      <c r="Y6" s="34" t="str">
        <f t="shared" ca="1" si="8"/>
        <v>W</v>
      </c>
      <c r="Z6" s="34" t="str">
        <f t="shared" ca="1" si="8"/>
        <v>T</v>
      </c>
      <c r="AA6" s="34" t="str">
        <f t="shared" ca="1" si="8"/>
        <v>F</v>
      </c>
      <c r="AB6" s="34" t="str">
        <f t="shared" ca="1" si="8"/>
        <v>S</v>
      </c>
      <c r="AC6" s="34" t="str">
        <f t="shared" ca="1" si="8"/>
        <v>S</v>
      </c>
      <c r="AD6" s="34" t="str">
        <f t="shared" ca="1" si="8"/>
        <v>M</v>
      </c>
      <c r="AE6" s="34" t="str">
        <f t="shared" ca="1" si="8"/>
        <v>T</v>
      </c>
      <c r="AF6" s="34" t="str">
        <f t="shared" ca="1" si="8"/>
        <v>W</v>
      </c>
      <c r="AG6" s="34" t="str">
        <f t="shared" ca="1" si="8"/>
        <v>T</v>
      </c>
      <c r="AH6" s="34" t="str">
        <f t="shared" ca="1" si="8"/>
        <v>F</v>
      </c>
      <c r="AI6" s="34" t="str">
        <f t="shared" ca="1" si="8"/>
        <v>S</v>
      </c>
      <c r="AJ6" s="34" t="str">
        <f t="shared" ca="1" si="8"/>
        <v>S</v>
      </c>
      <c r="AK6" s="34" t="str">
        <f t="shared" ca="1" si="8"/>
        <v>M</v>
      </c>
      <c r="AL6" s="34" t="str">
        <f t="shared" ca="1" si="8"/>
        <v>T</v>
      </c>
      <c r="AM6" s="34" t="str">
        <f t="shared" ca="1" si="8"/>
        <v>W</v>
      </c>
      <c r="AN6" s="34" t="str">
        <f t="shared" ca="1" si="8"/>
        <v>T</v>
      </c>
      <c r="AO6" s="34" t="str">
        <f t="shared" ref="AO6:BL6" ca="1" si="9">LEFT(TEXT(AO5,"ddd"),1)</f>
        <v>F</v>
      </c>
      <c r="AP6" s="34" t="str">
        <f t="shared" ca="1" si="9"/>
        <v>S</v>
      </c>
      <c r="AQ6" s="34" t="str">
        <f t="shared" ca="1" si="9"/>
        <v>S</v>
      </c>
      <c r="AR6" s="34" t="str">
        <f t="shared" ca="1" si="9"/>
        <v>M</v>
      </c>
      <c r="AS6" s="34" t="str">
        <f t="shared" ca="1" si="9"/>
        <v>T</v>
      </c>
      <c r="AT6" s="34" t="str">
        <f t="shared" ca="1" si="9"/>
        <v>W</v>
      </c>
      <c r="AU6" s="34" t="str">
        <f t="shared" ca="1" si="9"/>
        <v>T</v>
      </c>
      <c r="AV6" s="34" t="str">
        <f t="shared" ca="1" si="9"/>
        <v>F</v>
      </c>
      <c r="AW6" s="34" t="str">
        <f t="shared" ca="1" si="9"/>
        <v>S</v>
      </c>
      <c r="AX6" s="34" t="str">
        <f t="shared" ca="1" si="9"/>
        <v>S</v>
      </c>
      <c r="AY6" s="34" t="str">
        <f t="shared" ca="1" si="9"/>
        <v>M</v>
      </c>
      <c r="AZ6" s="34" t="str">
        <f t="shared" ca="1" si="9"/>
        <v>T</v>
      </c>
      <c r="BA6" s="34" t="str">
        <f t="shared" ca="1" si="9"/>
        <v>W</v>
      </c>
      <c r="BB6" s="34" t="str">
        <f t="shared" ca="1" si="9"/>
        <v>T</v>
      </c>
      <c r="BC6" s="34" t="str">
        <f t="shared" ca="1" si="9"/>
        <v>F</v>
      </c>
      <c r="BD6" s="34" t="str">
        <f t="shared" ca="1" si="9"/>
        <v>S</v>
      </c>
      <c r="BE6" s="34" t="str">
        <f t="shared" ca="1" si="9"/>
        <v>S</v>
      </c>
      <c r="BF6" s="34" t="str">
        <f t="shared" ca="1" si="9"/>
        <v>M</v>
      </c>
      <c r="BG6" s="34" t="str">
        <f t="shared" ca="1" si="9"/>
        <v>T</v>
      </c>
      <c r="BH6" s="34" t="str">
        <f t="shared" ca="1" si="9"/>
        <v>W</v>
      </c>
      <c r="BI6" s="34" t="str">
        <f t="shared" ca="1" si="9"/>
        <v>T</v>
      </c>
      <c r="BJ6" s="34" t="str">
        <f t="shared" ca="1" si="9"/>
        <v>F</v>
      </c>
      <c r="BK6" s="34" t="str">
        <f t="shared" ca="1" si="9"/>
        <v>S</v>
      </c>
      <c r="BL6" s="35" t="str">
        <f t="shared" ca="1" si="9"/>
        <v>S</v>
      </c>
      <c r="BM6" s="34" t="str">
        <f t="shared" ref="BM6:BS6" ca="1" si="10">LEFT(TEXT(BM5,"ddd"),1)</f>
        <v>M</v>
      </c>
      <c r="BN6" s="34" t="str">
        <f t="shared" ca="1" si="10"/>
        <v>T</v>
      </c>
      <c r="BO6" s="34" t="str">
        <f t="shared" ca="1" si="10"/>
        <v>W</v>
      </c>
      <c r="BP6" s="34" t="str">
        <f t="shared" ca="1" si="10"/>
        <v>T</v>
      </c>
      <c r="BQ6" s="34" t="str">
        <f t="shared" ca="1" si="10"/>
        <v>F</v>
      </c>
      <c r="BR6" s="34" t="str">
        <f t="shared" ca="1" si="10"/>
        <v>S</v>
      </c>
      <c r="BS6" s="35" t="str">
        <f t="shared" ca="1" si="10"/>
        <v>S</v>
      </c>
    </row>
    <row r="7" spans="1:71" s="26" customFormat="1" ht="30" hidden="1" customHeight="1" thickBot="1" x14ac:dyDescent="0.25">
      <c r="A7" s="13" t="s">
        <v>19</v>
      </c>
      <c r="B7" s="36"/>
      <c r="C7" s="37"/>
      <c r="D7" s="36"/>
      <c r="E7" s="36"/>
      <c r="F7" s="36"/>
      <c r="H7" s="26"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row>
    <row r="8" spans="1:71" s="45" customFormat="1" ht="30" customHeight="1" thickBot="1" x14ac:dyDescent="0.25">
      <c r="A8" s="14"/>
      <c r="B8" s="39" t="s">
        <v>57</v>
      </c>
      <c r="C8" s="40"/>
      <c r="D8" s="41"/>
      <c r="E8" s="42"/>
      <c r="F8" s="43"/>
      <c r="G8" s="17"/>
      <c r="H8" s="5" t="str">
        <f t="shared" ref="H8:H50" si="11">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row>
    <row r="9" spans="1:71" s="45" customFormat="1" ht="30" customHeight="1" thickBot="1" x14ac:dyDescent="0.25">
      <c r="A9" s="14"/>
      <c r="B9" s="46" t="s">
        <v>28</v>
      </c>
      <c r="C9" s="47" t="s">
        <v>48</v>
      </c>
      <c r="D9" s="48">
        <v>1</v>
      </c>
      <c r="E9" s="49">
        <v>46027</v>
      </c>
      <c r="F9" s="49">
        <v>46032</v>
      </c>
      <c r="G9" s="17"/>
      <c r="H9" s="5">
        <f t="shared" si="11"/>
        <v>6</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row>
    <row r="10" spans="1:71" s="45" customFormat="1" ht="30" customHeight="1" thickBot="1" x14ac:dyDescent="0.25">
      <c r="A10" s="14"/>
      <c r="B10" s="51" t="s">
        <v>53</v>
      </c>
      <c r="C10" s="52" t="s">
        <v>44</v>
      </c>
      <c r="D10" s="53">
        <v>1</v>
      </c>
      <c r="E10" s="54">
        <f>F9</f>
        <v>46032</v>
      </c>
      <c r="F10" s="54">
        <f>E10+3</f>
        <v>46035</v>
      </c>
      <c r="G10" s="17"/>
      <c r="H10" s="5">
        <f t="shared" si="11"/>
        <v>4</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row>
    <row r="11" spans="1:71" s="45" customFormat="1" ht="30" customHeight="1" thickBot="1" x14ac:dyDescent="0.25">
      <c r="A11" s="13"/>
      <c r="B11" s="51" t="s">
        <v>54</v>
      </c>
      <c r="C11" s="52" t="s">
        <v>44</v>
      </c>
      <c r="D11" s="53">
        <v>1</v>
      </c>
      <c r="E11" s="54">
        <f>F10</f>
        <v>46035</v>
      </c>
      <c r="F11" s="54">
        <f>E11+3</f>
        <v>46038</v>
      </c>
      <c r="G11" s="17"/>
      <c r="H11" s="5">
        <f t="shared" si="11"/>
        <v>4</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row>
    <row r="12" spans="1:71" s="45" customFormat="1" ht="30" customHeight="1" thickBot="1" x14ac:dyDescent="0.25">
      <c r="A12" s="13"/>
      <c r="B12" s="51" t="s">
        <v>55</v>
      </c>
      <c r="C12" s="52" t="s">
        <v>41</v>
      </c>
      <c r="D12" s="53">
        <v>1</v>
      </c>
      <c r="E12" s="54">
        <f>E10</f>
        <v>46032</v>
      </c>
      <c r="F12" s="54">
        <f>E12+3</f>
        <v>46035</v>
      </c>
      <c r="G12" s="17"/>
      <c r="H12" s="5">
        <f t="shared" si="11"/>
        <v>4</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row>
    <row r="13" spans="1:71" s="45" customFormat="1" ht="30" customHeight="1" thickBot="1" x14ac:dyDescent="0.25">
      <c r="A13" s="13"/>
      <c r="B13" s="51" t="s">
        <v>56</v>
      </c>
      <c r="C13" s="52" t="s">
        <v>41</v>
      </c>
      <c r="D13" s="53">
        <v>1</v>
      </c>
      <c r="E13" s="54">
        <f>F12</f>
        <v>46035</v>
      </c>
      <c r="F13" s="54">
        <f>E13+3</f>
        <v>46038</v>
      </c>
      <c r="G13" s="17"/>
      <c r="H13" s="5"/>
      <c r="I13" s="50"/>
      <c r="J13" s="50"/>
      <c r="K13" s="50"/>
      <c r="L13" s="50"/>
      <c r="M13" s="50"/>
      <c r="N13" s="50"/>
      <c r="O13" s="50"/>
      <c r="P13" s="50"/>
      <c r="Q13" s="50"/>
      <c r="R13" s="50"/>
      <c r="S13" s="50"/>
      <c r="T13" s="50"/>
      <c r="U13" s="50"/>
      <c r="V13" s="50"/>
      <c r="W13" s="50"/>
      <c r="X13" s="50"/>
      <c r="Y13" s="55"/>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row>
    <row r="14" spans="1:71" s="45" customFormat="1" ht="30" customHeight="1" thickBot="1" x14ac:dyDescent="0.25">
      <c r="A14" s="14"/>
      <c r="B14" s="51" t="s">
        <v>59</v>
      </c>
      <c r="C14" s="52" t="s">
        <v>44</v>
      </c>
      <c r="D14" s="53">
        <v>1</v>
      </c>
      <c r="E14" s="54">
        <f>F13</f>
        <v>46038</v>
      </c>
      <c r="F14" s="54">
        <f>E14+10</f>
        <v>46048</v>
      </c>
      <c r="G14" s="17"/>
      <c r="H14" s="5">
        <f t="shared" si="11"/>
        <v>11</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row>
    <row r="15" spans="1:71" s="45" customFormat="1" ht="30" customHeight="1" thickBot="1" x14ac:dyDescent="0.25">
      <c r="A15" s="13"/>
      <c r="B15" s="51" t="s">
        <v>58</v>
      </c>
      <c r="C15" s="52" t="s">
        <v>44</v>
      </c>
      <c r="D15" s="53">
        <v>1</v>
      </c>
      <c r="E15" s="54">
        <f>F13</f>
        <v>46038</v>
      </c>
      <c r="F15" s="54">
        <f>F14</f>
        <v>46048</v>
      </c>
      <c r="G15" s="17"/>
      <c r="H15" s="5">
        <f t="shared" si="11"/>
        <v>11</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row>
    <row r="16" spans="1:71" s="45" customFormat="1" ht="30" customHeight="1" thickBot="1" x14ac:dyDescent="0.25">
      <c r="A16" s="13"/>
      <c r="B16" s="51" t="s">
        <v>60</v>
      </c>
      <c r="C16" s="52" t="s">
        <v>44</v>
      </c>
      <c r="D16" s="53">
        <v>1</v>
      </c>
      <c r="E16" s="54">
        <f>F15</f>
        <v>46048</v>
      </c>
      <c r="F16" s="54">
        <f>E16</f>
        <v>46048</v>
      </c>
      <c r="G16" s="17"/>
      <c r="H16" s="5">
        <f t="shared" si="11"/>
        <v>1</v>
      </c>
      <c r="I16" s="50"/>
      <c r="J16" s="50"/>
      <c r="K16" s="50"/>
      <c r="L16" s="50"/>
      <c r="M16" s="50"/>
      <c r="N16" s="50"/>
      <c r="O16" s="50"/>
      <c r="P16" s="50"/>
      <c r="Q16" s="50"/>
      <c r="R16" s="50"/>
      <c r="S16" s="50"/>
      <c r="T16" s="50"/>
      <c r="U16" s="50"/>
      <c r="V16" s="50"/>
      <c r="W16" s="50"/>
      <c r="X16" s="50"/>
      <c r="Y16" s="55"/>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row>
    <row r="17" spans="1:71" s="45" customFormat="1" ht="30" customHeight="1" thickBot="1" x14ac:dyDescent="0.25">
      <c r="A17" s="13"/>
      <c r="B17" s="51" t="s">
        <v>52</v>
      </c>
      <c r="C17" s="52" t="s">
        <v>44</v>
      </c>
      <c r="D17" s="53">
        <v>1</v>
      </c>
      <c r="E17" s="54">
        <f>E16</f>
        <v>46048</v>
      </c>
      <c r="F17" s="54">
        <f>E17</f>
        <v>46048</v>
      </c>
      <c r="G17" s="17"/>
      <c r="H17" s="5"/>
      <c r="I17" s="50"/>
      <c r="J17" s="50"/>
      <c r="K17" s="50"/>
      <c r="L17" s="50"/>
      <c r="M17" s="50"/>
      <c r="N17" s="50"/>
      <c r="O17" s="50"/>
      <c r="P17" s="50"/>
      <c r="Q17" s="50"/>
      <c r="R17" s="50"/>
      <c r="S17" s="50"/>
      <c r="T17" s="50"/>
      <c r="U17" s="50"/>
      <c r="V17" s="50"/>
      <c r="W17" s="50"/>
      <c r="X17" s="50"/>
      <c r="Y17" s="55"/>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row>
    <row r="18" spans="1:71" s="45" customFormat="1" ht="30" customHeight="1" thickBot="1" x14ac:dyDescent="0.25">
      <c r="A18" s="13"/>
      <c r="B18" s="51" t="s">
        <v>67</v>
      </c>
      <c r="C18" s="52" t="s">
        <v>44</v>
      </c>
      <c r="D18" s="53">
        <v>1</v>
      </c>
      <c r="E18" s="54">
        <v>46057</v>
      </c>
      <c r="F18" s="54">
        <v>46061</v>
      </c>
      <c r="G18" s="17"/>
      <c r="H18" s="5"/>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row>
    <row r="19" spans="1:71" s="45" customFormat="1" ht="30" customHeight="1" thickBot="1" x14ac:dyDescent="0.25">
      <c r="A19" s="13"/>
      <c r="B19" s="51" t="s">
        <v>68</v>
      </c>
      <c r="C19" s="52" t="s">
        <v>44</v>
      </c>
      <c r="D19" s="53">
        <v>1</v>
      </c>
      <c r="E19" s="54">
        <v>46058</v>
      </c>
      <c r="F19" s="54">
        <v>46062</v>
      </c>
      <c r="G19" s="17"/>
      <c r="H19" s="5"/>
      <c r="I19" s="50"/>
      <c r="J19" s="50"/>
      <c r="K19" s="50"/>
      <c r="L19" s="50"/>
      <c r="M19" s="50"/>
      <c r="N19" s="50"/>
      <c r="O19" s="50"/>
      <c r="P19" s="50"/>
      <c r="Q19" s="50"/>
      <c r="R19" s="50"/>
      <c r="S19" s="50"/>
      <c r="T19" s="50"/>
      <c r="U19" s="50"/>
      <c r="V19" s="50"/>
      <c r="W19" s="50"/>
      <c r="X19" s="50"/>
      <c r="Y19" s="55"/>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row>
    <row r="20" spans="1:71" s="45" customFormat="1" ht="30" customHeight="1" thickBot="1" x14ac:dyDescent="0.25">
      <c r="A20" s="13"/>
      <c r="B20" s="51"/>
      <c r="C20" s="52"/>
      <c r="D20" s="53"/>
      <c r="E20" s="54"/>
      <c r="F20" s="54"/>
      <c r="G20" s="17"/>
      <c r="H20" s="5"/>
      <c r="I20" s="50"/>
      <c r="J20" s="50"/>
      <c r="K20" s="50"/>
      <c r="L20" s="50"/>
      <c r="M20" s="50"/>
      <c r="N20" s="50"/>
      <c r="O20" s="50"/>
      <c r="P20" s="50"/>
      <c r="Q20" s="50"/>
      <c r="R20" s="50"/>
      <c r="S20" s="50"/>
      <c r="T20" s="50"/>
      <c r="U20" s="50"/>
      <c r="V20" s="50"/>
      <c r="W20" s="50"/>
      <c r="X20" s="50"/>
      <c r="Y20" s="55"/>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row>
    <row r="21" spans="1:71" s="45" customFormat="1" ht="30" customHeight="1" thickBot="1" x14ac:dyDescent="0.25">
      <c r="A21" s="13"/>
      <c r="B21" s="51" t="s">
        <v>71</v>
      </c>
      <c r="C21" s="52" t="s">
        <v>44</v>
      </c>
      <c r="D21" s="53">
        <v>1</v>
      </c>
      <c r="E21" s="54">
        <v>46048</v>
      </c>
      <c r="F21" s="54">
        <v>46059</v>
      </c>
      <c r="G21" s="17"/>
      <c r="H21" s="5"/>
      <c r="I21" s="50"/>
      <c r="J21" s="50"/>
      <c r="K21" s="50"/>
      <c r="L21" s="50"/>
      <c r="M21" s="50"/>
      <c r="N21" s="50"/>
      <c r="O21" s="50"/>
      <c r="P21" s="50"/>
      <c r="Q21" s="50"/>
      <c r="R21" s="50"/>
      <c r="S21" s="50"/>
      <c r="T21" s="50"/>
      <c r="U21" s="50"/>
      <c r="V21" s="50"/>
      <c r="W21" s="50"/>
      <c r="X21" s="50"/>
      <c r="Y21" s="55"/>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row>
    <row r="22" spans="1:71" s="45" customFormat="1" ht="30" customHeight="1" thickBot="1" x14ac:dyDescent="0.25">
      <c r="A22" s="13"/>
      <c r="B22" s="51" t="s">
        <v>31</v>
      </c>
      <c r="C22" s="52" t="s">
        <v>66</v>
      </c>
      <c r="D22" s="53">
        <v>1</v>
      </c>
      <c r="E22" s="54">
        <f>E23</f>
        <v>46061</v>
      </c>
      <c r="F22" s="54">
        <f>E22</f>
        <v>46061</v>
      </c>
      <c r="G22" s="17"/>
      <c r="H22" s="5"/>
      <c r="I22" s="50"/>
      <c r="J22" s="50"/>
      <c r="K22" s="50"/>
      <c r="L22" s="50"/>
      <c r="M22" s="50"/>
      <c r="N22" s="50"/>
      <c r="O22" s="50"/>
      <c r="P22" s="50"/>
      <c r="Q22" s="50"/>
      <c r="R22" s="50"/>
      <c r="S22" s="50"/>
      <c r="T22" s="50"/>
      <c r="U22" s="50"/>
      <c r="V22" s="50"/>
      <c r="W22" s="50"/>
      <c r="X22" s="50"/>
      <c r="Y22" s="55"/>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row>
    <row r="23" spans="1:71" s="45" customFormat="1" ht="30" customHeight="1" thickBot="1" x14ac:dyDescent="0.25">
      <c r="A23" s="13"/>
      <c r="B23" s="51" t="s">
        <v>29</v>
      </c>
      <c r="C23" s="52" t="s">
        <v>44</v>
      </c>
      <c r="D23" s="53">
        <v>1</v>
      </c>
      <c r="E23" s="54">
        <v>46061</v>
      </c>
      <c r="F23" s="54">
        <f>E23</f>
        <v>46061</v>
      </c>
      <c r="G23" s="17"/>
      <c r="H23" s="5"/>
      <c r="I23" s="50"/>
      <c r="J23" s="50"/>
      <c r="K23" s="50"/>
      <c r="L23" s="50"/>
      <c r="M23" s="50"/>
      <c r="N23" s="50"/>
      <c r="O23" s="50"/>
      <c r="P23" s="50"/>
      <c r="Q23" s="50"/>
      <c r="R23" s="50"/>
      <c r="S23" s="50"/>
      <c r="T23" s="50"/>
      <c r="U23" s="50"/>
      <c r="V23" s="50"/>
      <c r="W23" s="50"/>
      <c r="X23" s="50"/>
      <c r="Y23" s="55"/>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row>
    <row r="24" spans="1:71" s="45" customFormat="1" ht="30" customHeight="1" thickBot="1" x14ac:dyDescent="0.25">
      <c r="A24" s="13"/>
      <c r="B24" s="51" t="s">
        <v>30</v>
      </c>
      <c r="C24" s="52" t="s">
        <v>44</v>
      </c>
      <c r="D24" s="53">
        <v>1</v>
      </c>
      <c r="E24" s="54">
        <f>E23</f>
        <v>46061</v>
      </c>
      <c r="F24" s="54">
        <f>F23</f>
        <v>46061</v>
      </c>
      <c r="G24" s="17"/>
      <c r="H24" s="5"/>
      <c r="I24" s="50"/>
      <c r="J24" s="50"/>
      <c r="K24" s="50"/>
      <c r="L24" s="50"/>
      <c r="M24" s="50"/>
      <c r="N24" s="50"/>
      <c r="O24" s="50"/>
      <c r="P24" s="50"/>
      <c r="Q24" s="50"/>
      <c r="R24" s="50"/>
      <c r="S24" s="50"/>
      <c r="T24" s="50"/>
      <c r="U24" s="50"/>
      <c r="V24" s="50"/>
      <c r="W24" s="50"/>
      <c r="X24" s="50"/>
      <c r="Y24" s="55"/>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row>
    <row r="25" spans="1:71" s="45" customFormat="1" ht="30" customHeight="1" thickBot="1" x14ac:dyDescent="0.25">
      <c r="A25" s="14"/>
      <c r="B25" s="56" t="s">
        <v>32</v>
      </c>
      <c r="C25" s="57"/>
      <c r="D25" s="58"/>
      <c r="E25" s="59"/>
      <c r="F25" s="60"/>
      <c r="G25" s="17"/>
      <c r="H25" s="5" t="str">
        <f t="shared" si="11"/>
        <v/>
      </c>
    </row>
    <row r="26" spans="1:71" s="45" customFormat="1" ht="30" customHeight="1" thickBot="1" x14ac:dyDescent="0.25">
      <c r="A26" s="14"/>
      <c r="B26" s="61" t="s">
        <v>69</v>
      </c>
      <c r="C26" s="62" t="s">
        <v>44</v>
      </c>
      <c r="D26" s="53">
        <v>1</v>
      </c>
      <c r="E26" s="63">
        <v>46048</v>
      </c>
      <c r="F26" s="63">
        <f>E26+8</f>
        <v>46056</v>
      </c>
      <c r="G26" s="17"/>
      <c r="H26" s="5"/>
    </row>
    <row r="27" spans="1:71" s="45" customFormat="1" ht="30" customHeight="1" thickBot="1" x14ac:dyDescent="0.25">
      <c r="A27" s="14"/>
      <c r="B27" s="61" t="s">
        <v>70</v>
      </c>
      <c r="C27" s="62" t="s">
        <v>44</v>
      </c>
      <c r="D27" s="53">
        <v>1</v>
      </c>
      <c r="E27" s="63">
        <v>46049</v>
      </c>
      <c r="F27" s="63">
        <f>E27+8</f>
        <v>46057</v>
      </c>
      <c r="G27" s="17"/>
      <c r="H27" s="5"/>
    </row>
    <row r="28" spans="1:71" s="45" customFormat="1" ht="30" customHeight="1" thickBot="1" x14ac:dyDescent="0.25">
      <c r="A28" s="14"/>
      <c r="B28" s="61" t="s">
        <v>61</v>
      </c>
      <c r="C28" s="62" t="s">
        <v>44</v>
      </c>
      <c r="D28" s="53">
        <v>1</v>
      </c>
      <c r="E28" s="63">
        <f>E47</f>
        <v>46048</v>
      </c>
      <c r="F28" s="63">
        <f>E28+8</f>
        <v>46056</v>
      </c>
      <c r="G28" s="17"/>
      <c r="H28" s="5">
        <f t="shared" si="11"/>
        <v>9</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row>
    <row r="29" spans="1:71" s="45" customFormat="1" ht="30" customHeight="1" thickBot="1" x14ac:dyDescent="0.25">
      <c r="A29" s="14"/>
      <c r="B29" s="61" t="s">
        <v>72</v>
      </c>
      <c r="C29" s="62" t="s">
        <v>44</v>
      </c>
      <c r="D29" s="53">
        <v>1</v>
      </c>
      <c r="E29" s="63" t="s">
        <v>73</v>
      </c>
      <c r="F29" s="63">
        <v>46058</v>
      </c>
      <c r="G29" s="17"/>
      <c r="H29" s="5"/>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row>
    <row r="30" spans="1:71" s="45" customFormat="1" ht="30" customHeight="1" thickBot="1" x14ac:dyDescent="0.25">
      <c r="A30" s="13"/>
      <c r="B30" s="61" t="s">
        <v>62</v>
      </c>
      <c r="C30" s="62" t="s">
        <v>44</v>
      </c>
      <c r="D30" s="53">
        <v>1</v>
      </c>
      <c r="E30" s="63">
        <f>E48-3</f>
        <v>46049</v>
      </c>
      <c r="F30" s="63">
        <f>E30+9</f>
        <v>46058</v>
      </c>
      <c r="G30" s="17"/>
      <c r="H30" s="5">
        <f t="shared" si="11"/>
        <v>10</v>
      </c>
      <c r="I30" s="50"/>
      <c r="J30" s="50"/>
      <c r="K30" s="50"/>
      <c r="L30" s="50"/>
      <c r="M30" s="50"/>
      <c r="N30" s="50"/>
      <c r="O30" s="50"/>
      <c r="P30" s="50"/>
      <c r="Q30" s="50"/>
      <c r="R30" s="50"/>
      <c r="S30" s="50"/>
      <c r="T30" s="50"/>
      <c r="U30" s="55"/>
      <c r="V30" s="55"/>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row>
    <row r="31" spans="1:71" s="45" customFormat="1" ht="30" customHeight="1" thickBot="1" x14ac:dyDescent="0.25">
      <c r="A31" s="13"/>
      <c r="B31" s="61" t="s">
        <v>63</v>
      </c>
      <c r="C31" s="62" t="s">
        <v>44</v>
      </c>
      <c r="D31" s="53">
        <v>0.6</v>
      </c>
      <c r="E31" s="63">
        <f>E47</f>
        <v>46048</v>
      </c>
      <c r="F31" s="63">
        <f>E31+20</f>
        <v>46068</v>
      </c>
      <c r="G31" s="17"/>
      <c r="H31" s="5"/>
      <c r="I31" s="50"/>
      <c r="J31" s="50"/>
      <c r="K31" s="50"/>
      <c r="L31" s="50"/>
      <c r="M31" s="50"/>
      <c r="N31" s="50"/>
      <c r="O31" s="50"/>
      <c r="P31" s="50"/>
      <c r="Q31" s="50"/>
      <c r="R31" s="50"/>
      <c r="S31" s="50"/>
      <c r="T31" s="50"/>
      <c r="U31" s="50"/>
      <c r="V31" s="50"/>
      <c r="W31" s="50"/>
      <c r="X31" s="50"/>
      <c r="Y31" s="55"/>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row>
    <row r="32" spans="1:71" s="45" customFormat="1" ht="30" customHeight="1" thickBot="1" x14ac:dyDescent="0.25">
      <c r="A32" s="13"/>
      <c r="B32" s="61" t="s">
        <v>64</v>
      </c>
      <c r="C32" s="62" t="s">
        <v>44</v>
      </c>
      <c r="D32" s="53">
        <v>0.9</v>
      </c>
      <c r="E32" s="63">
        <f>E31</f>
        <v>46048</v>
      </c>
      <c r="F32" s="63">
        <f>E32+14</f>
        <v>46062</v>
      </c>
      <c r="G32" s="17"/>
      <c r="H32" s="5"/>
      <c r="I32" s="50"/>
      <c r="J32" s="50"/>
      <c r="K32" s="50"/>
      <c r="L32" s="50"/>
      <c r="M32" s="50"/>
      <c r="N32" s="50"/>
      <c r="O32" s="50"/>
      <c r="P32" s="50"/>
      <c r="Q32" s="50"/>
      <c r="R32" s="50"/>
      <c r="S32" s="50"/>
      <c r="T32" s="50"/>
      <c r="U32" s="50"/>
      <c r="V32" s="50"/>
      <c r="W32" s="50"/>
      <c r="X32" s="50"/>
      <c r="Y32" s="55"/>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row>
    <row r="33" spans="1:71" s="45" customFormat="1" ht="30" customHeight="1" thickBot="1" x14ac:dyDescent="0.25">
      <c r="A33" s="13"/>
      <c r="B33" s="61" t="s">
        <v>65</v>
      </c>
      <c r="C33" s="62" t="s">
        <v>44</v>
      </c>
      <c r="D33" s="53">
        <v>1</v>
      </c>
      <c r="E33" s="63">
        <f>F30+2</f>
        <v>46060</v>
      </c>
      <c r="F33" s="63">
        <f>E33+1</f>
        <v>46061</v>
      </c>
      <c r="G33" s="17"/>
      <c r="H33" s="5">
        <f t="shared" si="11"/>
        <v>2</v>
      </c>
      <c r="I33" s="50"/>
      <c r="J33" s="50"/>
      <c r="K33" s="50"/>
      <c r="L33" s="50"/>
      <c r="M33" s="50"/>
      <c r="N33" s="50"/>
      <c r="O33" s="50"/>
      <c r="P33" s="50"/>
      <c r="Q33" s="50"/>
      <c r="R33" s="50"/>
      <c r="S33" s="50"/>
      <c r="T33" s="50"/>
      <c r="U33" s="50"/>
      <c r="V33" s="50"/>
      <c r="W33" s="50"/>
      <c r="X33" s="50"/>
      <c r="Y33" s="55"/>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row>
    <row r="34" spans="1:71" s="45" customFormat="1" ht="30" customHeight="1" thickBot="1" x14ac:dyDescent="0.25">
      <c r="A34" s="13"/>
      <c r="B34" s="61"/>
      <c r="C34" s="62"/>
      <c r="D34" s="53"/>
      <c r="E34" s="63"/>
      <c r="F34" s="63"/>
      <c r="G34" s="17"/>
      <c r="H34" s="5"/>
      <c r="I34" s="50"/>
      <c r="J34" s="50"/>
      <c r="K34" s="50"/>
      <c r="L34" s="50"/>
      <c r="M34" s="50"/>
      <c r="N34" s="50"/>
      <c r="O34" s="50"/>
      <c r="P34" s="50"/>
      <c r="Q34" s="50"/>
      <c r="R34" s="50"/>
      <c r="S34" s="50"/>
      <c r="T34" s="50"/>
      <c r="U34" s="50"/>
      <c r="V34" s="50"/>
      <c r="W34" s="50"/>
      <c r="X34" s="50"/>
      <c r="Y34" s="55"/>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row>
    <row r="35" spans="1:71" s="45" customFormat="1" ht="30" customHeight="1" thickBot="1" x14ac:dyDescent="0.25">
      <c r="A35" s="13"/>
      <c r="B35" s="61" t="s">
        <v>45</v>
      </c>
      <c r="C35" s="62" t="s">
        <v>42</v>
      </c>
      <c r="D35" s="53">
        <v>1</v>
      </c>
      <c r="E35" s="63">
        <v>46062</v>
      </c>
      <c r="F35" s="63">
        <f>E35</f>
        <v>46062</v>
      </c>
      <c r="G35" s="17"/>
      <c r="H35" s="5"/>
      <c r="I35" s="50"/>
      <c r="J35" s="50"/>
      <c r="K35" s="50"/>
      <c r="L35" s="50"/>
      <c r="M35" s="50"/>
      <c r="N35" s="50"/>
      <c r="O35" s="50"/>
      <c r="P35" s="50"/>
      <c r="Q35" s="50"/>
      <c r="R35" s="50"/>
      <c r="S35" s="50"/>
      <c r="T35" s="50"/>
      <c r="U35" s="50"/>
      <c r="V35" s="50"/>
      <c r="W35" s="50"/>
      <c r="X35" s="50"/>
      <c r="Y35" s="55"/>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row>
    <row r="36" spans="1:71" s="45" customFormat="1" ht="30" customHeight="1" thickBot="1" x14ac:dyDescent="0.25">
      <c r="A36" s="13"/>
      <c r="B36" s="61" t="s">
        <v>33</v>
      </c>
      <c r="C36" s="62" t="s">
        <v>41</v>
      </c>
      <c r="D36" s="53">
        <v>1</v>
      </c>
      <c r="E36" s="63">
        <f>F35+2</f>
        <v>46064</v>
      </c>
      <c r="F36" s="63">
        <f>E36</f>
        <v>46064</v>
      </c>
      <c r="G36" s="17"/>
      <c r="H36" s="5">
        <f t="shared" si="11"/>
        <v>1</v>
      </c>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row>
    <row r="37" spans="1:71" s="45" customFormat="1" ht="30" customHeight="1" thickBot="1" x14ac:dyDescent="0.25">
      <c r="A37" s="13"/>
      <c r="B37" s="61" t="s">
        <v>34</v>
      </c>
      <c r="C37" s="62" t="s">
        <v>41</v>
      </c>
      <c r="D37" s="53">
        <v>1</v>
      </c>
      <c r="E37" s="63">
        <f>F36</f>
        <v>46064</v>
      </c>
      <c r="F37" s="63">
        <f>E37+2</f>
        <v>46066</v>
      </c>
      <c r="G37" s="17"/>
      <c r="H37" s="5"/>
      <c r="I37" s="50"/>
      <c r="J37" s="50"/>
      <c r="K37" s="50"/>
      <c r="L37" s="50"/>
      <c r="M37" s="50"/>
      <c r="N37" s="50"/>
      <c r="O37" s="50"/>
      <c r="P37" s="50"/>
      <c r="Q37" s="50"/>
      <c r="R37" s="50"/>
      <c r="S37" s="50"/>
      <c r="T37" s="50"/>
      <c r="U37" s="50"/>
      <c r="V37" s="50"/>
      <c r="W37" s="50"/>
      <c r="X37" s="50"/>
      <c r="Y37" s="55"/>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row>
    <row r="38" spans="1:71" s="45" customFormat="1" ht="30" customHeight="1" thickBot="1" x14ac:dyDescent="0.25">
      <c r="A38" s="13"/>
      <c r="B38" s="61" t="s">
        <v>35</v>
      </c>
      <c r="C38" s="62" t="s">
        <v>41</v>
      </c>
      <c r="D38" s="53">
        <v>1</v>
      </c>
      <c r="E38" s="63">
        <f>F37</f>
        <v>46066</v>
      </c>
      <c r="F38" s="63">
        <f>E38+2</f>
        <v>46068</v>
      </c>
      <c r="G38" s="17"/>
      <c r="H38" s="5"/>
      <c r="I38" s="50"/>
      <c r="J38" s="50"/>
      <c r="K38" s="50"/>
      <c r="L38" s="50"/>
      <c r="M38" s="50"/>
      <c r="N38" s="50"/>
      <c r="O38" s="50"/>
      <c r="P38" s="50"/>
      <c r="Q38" s="50"/>
      <c r="R38" s="50"/>
      <c r="S38" s="50"/>
      <c r="T38" s="50"/>
      <c r="U38" s="50"/>
      <c r="V38" s="50"/>
      <c r="W38" s="50"/>
      <c r="X38" s="50"/>
      <c r="Y38" s="55"/>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row>
    <row r="39" spans="1:71" s="45" customFormat="1" ht="30" customHeight="1" thickBot="1" x14ac:dyDescent="0.25">
      <c r="A39" s="13"/>
      <c r="B39" s="61" t="s">
        <v>36</v>
      </c>
      <c r="C39" s="62" t="s">
        <v>41</v>
      </c>
      <c r="D39" s="53">
        <v>1</v>
      </c>
      <c r="E39" s="63">
        <f>F37</f>
        <v>46066</v>
      </c>
      <c r="F39" s="63">
        <f>E39+7</f>
        <v>46073</v>
      </c>
      <c r="G39" s="17"/>
      <c r="H39" s="5"/>
      <c r="I39" s="50"/>
      <c r="J39" s="50"/>
      <c r="K39" s="50"/>
      <c r="L39" s="50"/>
      <c r="M39" s="50"/>
      <c r="N39" s="50"/>
      <c r="O39" s="50"/>
      <c r="P39" s="50"/>
      <c r="Q39" s="50"/>
      <c r="R39" s="50"/>
      <c r="S39" s="50"/>
      <c r="T39" s="50"/>
      <c r="U39" s="50"/>
      <c r="V39" s="50"/>
      <c r="W39" s="50"/>
      <c r="X39" s="50"/>
      <c r="Y39" s="55"/>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row>
    <row r="40" spans="1:71" s="45" customFormat="1" ht="30" customHeight="1" thickBot="1" x14ac:dyDescent="0.25">
      <c r="A40" s="13"/>
      <c r="B40" s="61" t="s">
        <v>37</v>
      </c>
      <c r="C40" s="62" t="s">
        <v>41</v>
      </c>
      <c r="D40" s="53">
        <v>1</v>
      </c>
      <c r="E40" s="63">
        <f>E39+3</f>
        <v>46069</v>
      </c>
      <c r="F40" s="63">
        <f>F39</f>
        <v>46073</v>
      </c>
      <c r="G40" s="17"/>
      <c r="H40" s="5"/>
      <c r="I40" s="50"/>
      <c r="J40" s="50"/>
      <c r="K40" s="50"/>
      <c r="L40" s="50"/>
      <c r="M40" s="50"/>
      <c r="N40" s="50"/>
      <c r="O40" s="50"/>
      <c r="P40" s="50"/>
      <c r="Q40" s="50"/>
      <c r="R40" s="50"/>
      <c r="S40" s="50"/>
      <c r="T40" s="50"/>
      <c r="U40" s="50"/>
      <c r="V40" s="50"/>
      <c r="W40" s="50"/>
      <c r="X40" s="50"/>
      <c r="Y40" s="55"/>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row>
    <row r="41" spans="1:71" s="45" customFormat="1" ht="30" customHeight="1" thickBot="1" x14ac:dyDescent="0.25">
      <c r="A41" s="13"/>
      <c r="B41" s="61" t="s">
        <v>39</v>
      </c>
      <c r="C41" s="62" t="s">
        <v>41</v>
      </c>
      <c r="D41" s="53">
        <v>1</v>
      </c>
      <c r="E41" s="63">
        <f>F39-2</f>
        <v>46071</v>
      </c>
      <c r="F41" s="63">
        <f>E41+4</f>
        <v>46075</v>
      </c>
      <c r="G41" s="17"/>
      <c r="H41" s="5"/>
      <c r="I41" s="50"/>
      <c r="J41" s="50"/>
      <c r="K41" s="50"/>
      <c r="L41" s="50"/>
      <c r="M41" s="50"/>
      <c r="N41" s="50"/>
      <c r="O41" s="50"/>
      <c r="P41" s="50"/>
      <c r="Q41" s="50"/>
      <c r="R41" s="50"/>
      <c r="S41" s="50"/>
      <c r="T41" s="50"/>
      <c r="U41" s="50"/>
      <c r="V41" s="50"/>
      <c r="W41" s="50"/>
      <c r="X41" s="50"/>
      <c r="Y41" s="55"/>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row>
    <row r="42" spans="1:71" s="45" customFormat="1" ht="30" customHeight="1" thickBot="1" x14ac:dyDescent="0.25">
      <c r="A42" s="13"/>
      <c r="B42" s="61" t="s">
        <v>38</v>
      </c>
      <c r="C42" s="62" t="s">
        <v>41</v>
      </c>
      <c r="D42" s="53">
        <v>1</v>
      </c>
      <c r="E42" s="63">
        <f>E41+1</f>
        <v>46072</v>
      </c>
      <c r="F42" s="63">
        <f>F41</f>
        <v>46075</v>
      </c>
      <c r="G42" s="17"/>
      <c r="H42" s="5"/>
      <c r="I42" s="50"/>
      <c r="J42" s="50"/>
      <c r="K42" s="50"/>
      <c r="L42" s="50"/>
      <c r="M42" s="50"/>
      <c r="N42" s="50"/>
      <c r="O42" s="50"/>
      <c r="P42" s="50"/>
      <c r="Q42" s="50"/>
      <c r="R42" s="50"/>
      <c r="S42" s="50"/>
      <c r="T42" s="50"/>
      <c r="U42" s="50"/>
      <c r="V42" s="50"/>
      <c r="W42" s="50"/>
      <c r="X42" s="50"/>
      <c r="Y42" s="55"/>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row>
    <row r="43" spans="1:71" s="45" customFormat="1" ht="30" customHeight="1" thickBot="1" x14ac:dyDescent="0.25">
      <c r="A43" s="13"/>
      <c r="B43" s="61" t="s">
        <v>46</v>
      </c>
      <c r="C43" s="62" t="s">
        <v>41</v>
      </c>
      <c r="D43" s="53">
        <v>1</v>
      </c>
      <c r="E43" s="63">
        <f>E47</f>
        <v>46048</v>
      </c>
      <c r="F43" s="63">
        <f>E43+7</f>
        <v>46055</v>
      </c>
      <c r="G43" s="17"/>
      <c r="H43" s="5"/>
      <c r="I43" s="50"/>
      <c r="J43" s="50"/>
      <c r="K43" s="50"/>
      <c r="L43" s="50"/>
      <c r="M43" s="50"/>
      <c r="N43" s="50"/>
      <c r="O43" s="50"/>
      <c r="P43" s="50"/>
      <c r="Q43" s="50"/>
      <c r="R43" s="50"/>
      <c r="S43" s="50"/>
      <c r="T43" s="50"/>
      <c r="U43" s="50"/>
      <c r="V43" s="50"/>
      <c r="W43" s="50"/>
      <c r="X43" s="50"/>
      <c r="Y43" s="55"/>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row>
    <row r="44" spans="1:71" s="45" customFormat="1" ht="30" customHeight="1" thickBot="1" x14ac:dyDescent="0.25">
      <c r="A44" s="13"/>
      <c r="B44" s="61" t="s">
        <v>43</v>
      </c>
      <c r="C44" s="62" t="s">
        <v>41</v>
      </c>
      <c r="D44" s="53">
        <v>1</v>
      </c>
      <c r="E44" s="63">
        <f>E47+5</f>
        <v>46053</v>
      </c>
      <c r="F44" s="63">
        <f>E45+1</f>
        <v>46062</v>
      </c>
      <c r="G44" s="17"/>
      <c r="H44" s="5"/>
      <c r="I44" s="50"/>
      <c r="J44" s="50"/>
      <c r="K44" s="50"/>
      <c r="L44" s="50"/>
      <c r="M44" s="50"/>
      <c r="N44" s="50"/>
      <c r="O44" s="50"/>
      <c r="P44" s="50"/>
      <c r="Q44" s="50"/>
      <c r="R44" s="50"/>
      <c r="S44" s="50"/>
      <c r="T44" s="50"/>
      <c r="U44" s="50"/>
      <c r="V44" s="50"/>
      <c r="W44" s="50"/>
      <c r="X44" s="50"/>
      <c r="Y44" s="55"/>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row>
    <row r="45" spans="1:71" s="45" customFormat="1" ht="30" customHeight="1" thickBot="1" x14ac:dyDescent="0.25">
      <c r="A45" s="13"/>
      <c r="B45" s="61" t="s">
        <v>40</v>
      </c>
      <c r="C45" s="62" t="s">
        <v>41</v>
      </c>
      <c r="D45" s="53">
        <v>1</v>
      </c>
      <c r="E45" s="63">
        <f>E44+8</f>
        <v>46061</v>
      </c>
      <c r="F45" s="63">
        <f>E45+3</f>
        <v>46064</v>
      </c>
      <c r="G45" s="17"/>
      <c r="H45" s="5">
        <f t="shared" si="11"/>
        <v>4</v>
      </c>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row>
    <row r="46" spans="1:71" s="45" customFormat="1" ht="30" customHeight="1" thickBot="1" x14ac:dyDescent="0.25">
      <c r="A46" s="13"/>
      <c r="B46" s="64" t="s">
        <v>47</v>
      </c>
      <c r="C46" s="65"/>
      <c r="D46" s="66"/>
      <c r="E46" s="67"/>
      <c r="F46" s="68"/>
      <c r="G46" s="17"/>
      <c r="H46" s="5" t="str">
        <f t="shared" si="11"/>
        <v/>
      </c>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row>
    <row r="47" spans="1:71" s="45" customFormat="1" ht="30" customHeight="1" thickBot="1" x14ac:dyDescent="0.25">
      <c r="A47" s="13"/>
      <c r="B47" s="70" t="s">
        <v>50</v>
      </c>
      <c r="C47" s="71" t="s">
        <v>48</v>
      </c>
      <c r="D47" s="53">
        <v>1</v>
      </c>
      <c r="E47" s="72">
        <v>46048</v>
      </c>
      <c r="F47" s="72">
        <v>46052</v>
      </c>
      <c r="G47" s="17"/>
      <c r="H47" s="5">
        <f t="shared" si="11"/>
        <v>5</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row>
    <row r="48" spans="1:71" s="45" customFormat="1" ht="30" customHeight="1" thickBot="1" x14ac:dyDescent="0.25">
      <c r="A48" s="13"/>
      <c r="B48" s="70" t="s">
        <v>49</v>
      </c>
      <c r="C48" s="71" t="s">
        <v>42</v>
      </c>
      <c r="D48" s="53">
        <v>1</v>
      </c>
      <c r="E48" s="72">
        <v>46052</v>
      </c>
      <c r="F48" s="72">
        <f>E48</f>
        <v>46052</v>
      </c>
      <c r="G48" s="17"/>
      <c r="H48" s="5">
        <f t="shared" si="11"/>
        <v>1</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row>
    <row r="49" spans="1:71" s="45" customFormat="1" ht="30" customHeight="1" thickBot="1" x14ac:dyDescent="0.25">
      <c r="A49" s="13"/>
      <c r="B49" s="70" t="s">
        <v>51</v>
      </c>
      <c r="C49" s="71" t="s">
        <v>42</v>
      </c>
      <c r="D49" s="53">
        <v>1</v>
      </c>
      <c r="E49" s="72">
        <v>46059</v>
      </c>
      <c r="F49" s="72">
        <v>46059</v>
      </c>
      <c r="G49" s="17"/>
      <c r="H49" s="5">
        <f t="shared" si="11"/>
        <v>1</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row>
    <row r="50" spans="1:71" s="45" customFormat="1" ht="30" customHeight="1" thickBot="1" x14ac:dyDescent="0.25">
      <c r="A50" s="14"/>
      <c r="B50" s="73" t="s">
        <v>0</v>
      </c>
      <c r="C50" s="74"/>
      <c r="D50" s="75"/>
      <c r="E50" s="76"/>
      <c r="F50" s="77"/>
      <c r="G50" s="17"/>
      <c r="H50" s="6" t="str">
        <f t="shared" si="11"/>
        <v/>
      </c>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row>
    <row r="51" spans="1:71" ht="30" customHeight="1" x14ac:dyDescent="0.2">
      <c r="G51" s="3"/>
    </row>
    <row r="52" spans="1:71" ht="30" customHeight="1" x14ac:dyDescent="0.25">
      <c r="C52" s="16"/>
      <c r="F52" s="15"/>
    </row>
    <row r="53" spans="1:71" ht="30" customHeight="1" x14ac:dyDescent="0.2">
      <c r="C53" s="4"/>
    </row>
  </sheetData>
  <mergeCells count="19">
    <mergeCell ref="BM4:BS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50">
    <cfRule type="dataBar" priority="3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24">
    <cfRule type="expression" dxfId="7" priority="16" stopIfTrue="1">
      <formula>AND(task_end&gt;=I$5,task_start&lt;J$5)</formula>
    </cfRule>
  </conditionalFormatting>
  <conditionalFormatting sqref="I4:BS48">
    <cfRule type="expression" dxfId="6" priority="10">
      <formula>AND(TODAY()&gt;=I$5, TODAY()&lt;J$5)</formula>
    </cfRule>
  </conditionalFormatting>
  <conditionalFormatting sqref="I9:BS24">
    <cfRule type="expression" dxfId="5" priority="6">
      <formula>AND(task_start&lt;=I$5,ROUNDDOWN((task_end-task_start+1)*task_progress,0)+task_start-1&gt;=I$5)</formula>
    </cfRule>
  </conditionalFormatting>
  <conditionalFormatting sqref="I28:BS45">
    <cfRule type="expression" dxfId="4" priority="13">
      <formula>AND(task_start&lt;=I$5,ROUNDDOWN((task_end-task_start+1)*task_progress,0)+task_start-1&gt;=I$5)</formula>
    </cfRule>
    <cfRule type="expression" dxfId="3" priority="14" stopIfTrue="1">
      <formula>AND(task_end&gt;=I$5,task_start&lt;J$5)</formula>
    </cfRule>
  </conditionalFormatting>
  <conditionalFormatting sqref="I47:BS48">
    <cfRule type="expression" dxfId="2" priority="45">
      <formula>AND(task_start&lt;=I$5,ROUNDDOWN((task_end-task_start+1)*task_progress,0)+task_start-1&gt;=I$5)</formula>
    </cfRule>
    <cfRule type="expression" dxfId="1" priority="46" stopIfTrue="1">
      <formula>AND(task_end&gt;=I$5,task_start&lt;J$5)</formula>
    </cfRule>
  </conditionalFormatting>
  <conditionalFormatting sqref="BM9:BS24">
    <cfRule type="expression" dxfId="0" priority="7" stopIfTrue="1">
      <formula>AND(task_end&gt;=BM$5,task_start&lt;BN$5)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5:A27" xr:uid="{4F48FC41-E335-47F1-87AA-3333A52AD81C}"/>
    <dataValidation allowBlank="1" showInputMessage="1" showErrorMessage="1" prompt="Phase 4's sample block starts in cell B26." sqref="A4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0" xr:uid="{79B9237E-4DD3-4E0F-8ED6-E0B695A99D96}"/>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81" t="s">
        <v>8</v>
      </c>
      <c r="B2" s="8"/>
    </row>
    <row r="3" spans="1:2" s="11" customFormat="1" ht="27" customHeight="1" x14ac:dyDescent="0.2">
      <c r="A3" s="82"/>
      <c r="B3" s="12"/>
    </row>
    <row r="4" spans="1:2" s="10" customFormat="1" ht="31.5" x14ac:dyDescent="0.6">
      <c r="A4" s="83" t="s">
        <v>7</v>
      </c>
    </row>
    <row r="5" spans="1:2" ht="74.25" customHeight="1" x14ac:dyDescent="0.2">
      <c r="A5" s="84" t="s">
        <v>15</v>
      </c>
    </row>
    <row r="6" spans="1:2" ht="26.25" customHeight="1" x14ac:dyDescent="0.2">
      <c r="A6" s="83" t="s">
        <v>18</v>
      </c>
    </row>
    <row r="7" spans="1:2" s="7" customFormat="1" ht="205.15" customHeight="1" x14ac:dyDescent="0.2">
      <c r="A7" s="85" t="s">
        <v>17</v>
      </c>
    </row>
    <row r="8" spans="1:2" s="10" customFormat="1" ht="31.5" x14ac:dyDescent="0.6">
      <c r="A8" s="83" t="s">
        <v>9</v>
      </c>
    </row>
    <row r="9" spans="1:2" ht="57" x14ac:dyDescent="0.2">
      <c r="A9" s="84" t="s">
        <v>16</v>
      </c>
    </row>
    <row r="10" spans="1:2" s="7" customFormat="1" ht="28.15" customHeight="1" x14ac:dyDescent="0.2">
      <c r="A10" s="86" t="s">
        <v>14</v>
      </c>
    </row>
    <row r="11" spans="1:2" s="10" customFormat="1" ht="31.5" x14ac:dyDescent="0.6">
      <c r="A11" s="83" t="s">
        <v>6</v>
      </c>
    </row>
    <row r="12" spans="1:2" ht="28.5" x14ac:dyDescent="0.2">
      <c r="A12" s="84" t="s">
        <v>13</v>
      </c>
    </row>
    <row r="13" spans="1:2" s="7" customFormat="1" ht="28.15" customHeight="1" x14ac:dyDescent="0.2">
      <c r="A13" s="86" t="s">
        <v>2</v>
      </c>
    </row>
    <row r="14" spans="1:2" s="10" customFormat="1" ht="31.5" x14ac:dyDescent="0.6">
      <c r="A14" s="83" t="s">
        <v>10</v>
      </c>
    </row>
    <row r="15" spans="1:2" ht="75" customHeight="1" x14ac:dyDescent="0.2">
      <c r="A15" s="84" t="s">
        <v>11</v>
      </c>
    </row>
    <row r="16" spans="1:2" ht="71.25" x14ac:dyDescent="0.2">
      <c r="A16" s="84" t="s">
        <v>12</v>
      </c>
    </row>
    <row r="17" spans="1:1" x14ac:dyDescent="0.2">
      <c r="A17" s="87"/>
    </row>
    <row r="18" spans="1:1" x14ac:dyDescent="0.2">
      <c r="A18" s="87"/>
    </row>
    <row r="19" spans="1:1" x14ac:dyDescent="0.2">
      <c r="A19" s="87"/>
    </row>
    <row r="20" spans="1:1" x14ac:dyDescent="0.2">
      <c r="A20" s="87"/>
    </row>
    <row r="21" spans="1:1" x14ac:dyDescent="0.2">
      <c r="A21" s="87"/>
    </row>
    <row r="22" spans="1:1" x14ac:dyDescent="0.2">
      <c r="A22" s="87"/>
    </row>
    <row r="23" spans="1:1" x14ac:dyDescent="0.2">
      <c r="A23" s="87"/>
    </row>
    <row r="24" spans="1:1" x14ac:dyDescent="0.2">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Ruidi Liu</cp:lastModifiedBy>
  <dcterms:created xsi:type="dcterms:W3CDTF">2022-03-11T22:41:12Z</dcterms:created>
  <dcterms:modified xsi:type="dcterms:W3CDTF">2026-04-10T18:15:58Z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